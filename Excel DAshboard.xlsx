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9C754720-FE57-4DD6-9FF7-6987D44B0CD5}" xr6:coauthVersionLast="47" xr6:coauthVersionMax="47" xr10:uidLastSave="{00000000-0000-0000-0000-000000000000}"/>
  <bookViews>
    <workbookView xWindow="-108" yWindow="-108" windowWidth="23256" windowHeight="12456" activeTab="2" xr2:uid="{BAC0D6F4-3C62-4472-944F-149C1CD30ACA}"/>
  </bookViews>
  <sheets>
    <sheet name="Data" sheetId="1" r:id="rId1"/>
    <sheet name="Sheet1" sheetId="6" r:id="rId2"/>
    <sheet name="Dashboard" sheetId="7" r:id="rId3"/>
  </sheets>
  <definedNames>
    <definedName name="NativeTimeline_Date">#N/A</definedName>
    <definedName name="Slicer_City">#N/A</definedName>
    <definedName name="Slicer_Days">#N/A</definedName>
    <definedName name="Slicer_Item">#N/A</definedName>
    <definedName name="Slicer_Seller">#N/A</definedName>
  </definedNames>
  <calcPr calcId="191029"/>
  <pivotCaches>
    <pivotCache cacheId="18"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9" i="6" l="1"/>
  <c r="J3" i="6"/>
  <c r="F23" i="6"/>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F18" i="6"/>
  <c r="B23" i="6"/>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2" i="1"/>
  <c r="A20" i="6" l="1"/>
</calcChain>
</file>

<file path=xl/sharedStrings.xml><?xml version="1.0" encoding="utf-8"?>
<sst xmlns="http://schemas.openxmlformats.org/spreadsheetml/2006/main" count="459" uniqueCount="29">
  <si>
    <t>S.N</t>
  </si>
  <si>
    <t>Seller</t>
  </si>
  <si>
    <t>City</t>
  </si>
  <si>
    <t>Date</t>
  </si>
  <si>
    <t>Item</t>
  </si>
  <si>
    <t>Qty</t>
  </si>
  <si>
    <t>Rate</t>
  </si>
  <si>
    <t>RAM PRAVESH</t>
  </si>
  <si>
    <t>SHIVAM VERMA</t>
  </si>
  <si>
    <t>ADITYA KUMAR</t>
  </si>
  <si>
    <t>GAJENDRA SINGH</t>
  </si>
  <si>
    <t>NITESH CHAURASIYA</t>
  </si>
  <si>
    <t>ABHISHEK DIXIT</t>
  </si>
  <si>
    <t>Lakhimpur</t>
  </si>
  <si>
    <t>Sitapur</t>
  </si>
  <si>
    <t>Lucknow</t>
  </si>
  <si>
    <t>SSD</t>
  </si>
  <si>
    <t>Mouse</t>
  </si>
  <si>
    <t>Mic</t>
  </si>
  <si>
    <t>RAM</t>
  </si>
  <si>
    <t>M/B</t>
  </si>
  <si>
    <t>Keyboard</t>
  </si>
  <si>
    <t>Total</t>
  </si>
  <si>
    <t>Row Labels</t>
  </si>
  <si>
    <t>Grand Total</t>
  </si>
  <si>
    <t>Sum of Total</t>
  </si>
  <si>
    <t>Sum of Qty</t>
  </si>
  <si>
    <t>Days</t>
  </si>
  <si>
    <t>Average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</si>
</sst>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6" formatCode="&quot;₹&quot;\ #,##0.00"/>
    <numFmt numFmtId="168" formatCode="&quot;₹&quot;\ #,##0"/>
    <numFmt numFmtId="172" formatCode="#,##0_ ;\-#,##0\ "/>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2" fillId="0" borderId="0" applyFont="0" applyFill="0" applyBorder="0" applyAlignment="0" applyProtection="0"/>
  </cellStyleXfs>
  <cellXfs count="9">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168" fontId="0" fillId="0" borderId="0" xfId="0" applyNumberFormat="1"/>
    <xf numFmtId="172" fontId="0" fillId="0" borderId="0" xfId="1" applyNumberFormat="1" applyFont="1"/>
  </cellXfs>
  <cellStyles count="2">
    <cellStyle name="Comma" xfId="1" builtinId="3"/>
    <cellStyle name="Normal" xfId="0" builtinId="0"/>
  </cellStyles>
  <dxfs count="7">
    <dxf>
      <font>
        <b/>
        <color theme="1"/>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numFmt numFmtId="0" formatCode="General"/>
    </dxf>
    <dxf>
      <numFmt numFmtId="164" formatCode="dd/mm/yy"/>
    </dxf>
    <dxf>
      <font>
        <b/>
        <i val="0"/>
        <strike val="0"/>
        <condense val="0"/>
        <extend val="0"/>
        <outline val="0"/>
        <shadow val="0"/>
        <u val="none"/>
        <vertAlign val="baseline"/>
        <sz val="11"/>
        <color theme="1"/>
        <name val="Calibri"/>
        <family val="2"/>
        <scheme val="minor"/>
      </font>
    </dxf>
  </dxfs>
  <tableStyles count="3" defaultTableStyle="TableStyleMedium2" defaultPivotStyle="PivotStyleLight16">
    <tableStyle name="Slicer Style 1" pivot="0" table="0" count="0" xr9:uid="{F9E2DF91-62E8-4301-8A07-CA3600B3AE6C}"/>
    <tableStyle name="SlicerStyleOther1 2" pivot="0" table="0" count="10" xr9:uid="{8C15BFC6-0102-43DB-91DF-9E28A36B65EF}">
      <tableStyleElement type="wholeTable" dxfId="3"/>
      <tableStyleElement type="headerRow" dxfId="2"/>
    </tableStyle>
    <tableStyle name="SlicerStyleOther1 3" pivot="0" table="0" count="10" xr9:uid="{27530064-EE88-4FF7-A823-D26348D6747F}">
      <tableStyleElement type="wholeTable" dxfId="1"/>
      <tableStyleElement type="headerRow" dxfId="0"/>
    </tableStyle>
  </tableStyles>
  <colors>
    <mruColors>
      <color rgb="FFFF999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Other1 3">
        <x14:slicerStyle name="Slicer Style 1"/>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Monthly</a:t>
            </a:r>
            <a:r>
              <a:rPr lang="en-US" b="1" baseline="0">
                <a:solidFill>
                  <a:schemeClr val="tx1">
                    <a:lumMod val="85000"/>
                    <a:lumOff val="15000"/>
                  </a:schemeClr>
                </a:solidFill>
              </a:rPr>
              <a:t> Sales Trend</a:t>
            </a:r>
            <a:endParaRPr lang="en-US" b="1">
              <a:solidFill>
                <a:schemeClr val="tx1">
                  <a:lumMod val="85000"/>
                  <a:lumOff val="15000"/>
                </a:schemeClr>
              </a:solidFill>
            </a:endParaRPr>
          </a:p>
        </c:rich>
      </c:tx>
      <c:layout>
        <c:manualLayout>
          <c:xMode val="edge"/>
          <c:yMode val="edge"/>
          <c:x val="0.359360972735550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75000"/>
              </a:schemeClr>
            </a:solidFill>
            <a:round/>
          </a:ln>
          <a:effectLst>
            <a:outerShdw blurRad="50800" dist="50800" dir="5400000" algn="ctr" rotWithShape="0">
              <a:schemeClr val="bg2"/>
            </a:outerShdw>
          </a:effectLst>
        </c:spPr>
        <c:marker>
          <c:symbol val="circle"/>
          <c:size val="5"/>
          <c:spPr>
            <a:solidFill>
              <a:schemeClr val="tx1">
                <a:lumMod val="85000"/>
                <a:lumOff val="15000"/>
              </a:schemeClr>
            </a:solidFill>
            <a:ln w="9525">
              <a:solidFill>
                <a:schemeClr val="tx1"/>
              </a:solidFill>
            </a:ln>
            <a:effectLst>
              <a:outerShdw blurRad="50800" dist="50800" dir="5400000" algn="ctr" rotWithShape="0">
                <a:schemeClr val="bg2"/>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3">
                  <a:lumMod val="75000"/>
                </a:schemeClr>
              </a:solidFill>
              <a:round/>
            </a:ln>
            <a:effectLst>
              <a:outerShdw blurRad="50800" dist="50800" dir="5400000" algn="ctr" rotWithShape="0">
                <a:schemeClr val="bg2"/>
              </a:outerShdw>
            </a:effectLst>
          </c:spPr>
          <c:marker>
            <c:symbol val="circle"/>
            <c:size val="5"/>
            <c:spPr>
              <a:solidFill>
                <a:schemeClr val="tx1">
                  <a:lumMod val="85000"/>
                  <a:lumOff val="15000"/>
                </a:schemeClr>
              </a:solidFill>
              <a:ln w="9525">
                <a:solidFill>
                  <a:schemeClr val="tx1"/>
                </a:solidFill>
              </a:ln>
              <a:effectLst>
                <a:outerShdw blurRad="50800" dist="50800" dir="5400000" algn="ctr" rotWithShape="0">
                  <a:schemeClr val="bg2"/>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c:f>
              <c:strCache>
                <c:ptCount val="1"/>
                <c:pt idx="0">
                  <c:v>Grand Total</c:v>
                </c:pt>
              </c:strCache>
            </c:strRef>
          </c:cat>
          <c:val>
            <c:numRef>
              <c:f>Sheet1!$B$4</c:f>
              <c:numCache>
                <c:formatCode>General</c:formatCode>
                <c:ptCount val="1"/>
              </c:numCache>
            </c:numRef>
          </c:val>
          <c:smooth val="0"/>
          <c:extLst>
            <c:ext xmlns:c16="http://schemas.microsoft.com/office/drawing/2014/chart" uri="{C3380CC4-5D6E-409C-BE32-E72D297353CC}">
              <c16:uniqueId val="{00000000-35E1-4EA7-A21F-B4E9F20E98F5}"/>
            </c:ext>
          </c:extLst>
        </c:ser>
        <c:dLbls>
          <c:dLblPos val="ctr"/>
          <c:showLegendKey val="0"/>
          <c:showVal val="1"/>
          <c:showCatName val="0"/>
          <c:showSerName val="0"/>
          <c:showPercent val="0"/>
          <c:showBubbleSize val="0"/>
        </c:dLbls>
        <c:marker val="1"/>
        <c:smooth val="0"/>
        <c:axId val="669544656"/>
        <c:axId val="669547896"/>
      </c:lineChart>
      <c:catAx>
        <c:axId val="66954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547896"/>
        <c:crosses val="autoZero"/>
        <c:auto val="1"/>
        <c:lblAlgn val="ctr"/>
        <c:lblOffset val="100"/>
        <c:noMultiLvlLbl val="0"/>
      </c:catAx>
      <c:valAx>
        <c:axId val="6695478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6954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DAshboard.xlsx]Sheet1!PivotTable3</c:name>
    <c:fmtId val="16"/>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400" b="1">
                <a:solidFill>
                  <a:sysClr val="windowText" lastClr="000000"/>
                </a:solidFill>
                <a:latin typeface="+mn-lt"/>
              </a:rPr>
              <a:t>City-Wise Sale</a:t>
            </a:r>
          </a:p>
        </c:rich>
      </c:tx>
      <c:layout>
        <c:manualLayout>
          <c:xMode val="edge"/>
          <c:yMode val="edge"/>
          <c:x val="0.37318789774565853"/>
          <c:y val="2.6718745137095023E-3"/>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spPr>
          <a:solidFill>
            <a:schemeClr val="dk1">
              <a:tint val="88500"/>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col"/>
        <c:grouping val="clustered"/>
        <c:varyColors val="0"/>
        <c:ser>
          <c:idx val="0"/>
          <c:order val="0"/>
          <c:tx>
            <c:strRef>
              <c:f>Sheet1!$B$12</c:f>
              <c:strCache>
                <c:ptCount val="1"/>
                <c:pt idx="0">
                  <c:v>Total</c:v>
                </c:pt>
              </c:strCache>
            </c:strRef>
          </c:tx>
          <c:spPr>
            <a:solidFill>
              <a:schemeClr val="dk1">
                <a:tint val="885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Sheet1!$A$13</c:f>
              <c:strCache>
                <c:ptCount val="1"/>
                <c:pt idx="0">
                  <c:v>Grand Total</c:v>
                </c:pt>
              </c:strCache>
            </c:strRef>
          </c:cat>
          <c:val>
            <c:numRef>
              <c:f>Sheet1!$B$13</c:f>
              <c:numCache>
                <c:formatCode>General</c:formatCode>
                <c:ptCount val="1"/>
              </c:numCache>
            </c:numRef>
          </c:val>
          <c:extLst>
            <c:ext xmlns:c16="http://schemas.microsoft.com/office/drawing/2014/chart" uri="{C3380CC4-5D6E-409C-BE32-E72D297353CC}">
              <c16:uniqueId val="{00000000-837E-4872-A16E-2E57C9D00511}"/>
            </c:ext>
          </c:extLst>
        </c:ser>
        <c:dLbls>
          <c:showLegendKey val="0"/>
          <c:showVal val="0"/>
          <c:showCatName val="0"/>
          <c:showSerName val="0"/>
          <c:showPercent val="0"/>
          <c:showBubbleSize val="0"/>
        </c:dLbls>
        <c:gapWidth val="80"/>
        <c:overlap val="25"/>
        <c:axId val="551794288"/>
        <c:axId val="551793568"/>
      </c:barChart>
      <c:catAx>
        <c:axId val="55179428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551793568"/>
        <c:crosses val="autoZero"/>
        <c:auto val="1"/>
        <c:lblAlgn val="ctr"/>
        <c:lblOffset val="100"/>
        <c:noMultiLvlLbl val="0"/>
      </c:catAx>
      <c:valAx>
        <c:axId val="551793568"/>
        <c:scaling>
          <c:orientation val="minMax"/>
        </c:scaling>
        <c:delete val="1"/>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crossAx val="55179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DAshboard.xlsx]Sheet1!PivotTable4</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Quantity</a:t>
            </a:r>
            <a:r>
              <a:rPr lang="en-US" b="1" baseline="0">
                <a:solidFill>
                  <a:sysClr val="windowText" lastClr="000000"/>
                </a:solidFill>
              </a:rPr>
              <a:t> Sold</a:t>
            </a:r>
            <a:endParaRPr lang="en-US" b="1">
              <a:solidFill>
                <a:sysClr val="windowText" lastClr="000000"/>
              </a:solidFill>
            </a:endParaRPr>
          </a:p>
        </c:rich>
      </c:tx>
      <c:layout>
        <c:manualLayout>
          <c:xMode val="edge"/>
          <c:yMode val="edge"/>
          <c:x val="0.3709722972940071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accent3">
                <a:alpha val="9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20000"/>
              <a:lumOff val="80000"/>
            </a:schemeClr>
          </a:solidFill>
          <a:ln w="19050">
            <a:solidFill>
              <a:schemeClr val="accent3">
                <a:alpha val="96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82212F92-3A97-4B0D-9191-28EAB82C84E1}" type="VALUE">
                  <a:rPr lang="en-US">
                    <a:solidFill>
                      <a:schemeClr val="tx1"/>
                    </a:solidFill>
                  </a:rPr>
                  <a:pPr>
                    <a:defRPr>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lumMod val="50000"/>
            </a:schemeClr>
          </a:solidFill>
          <a:ln w="19050">
            <a:solidFill>
              <a:schemeClr val="accent3">
                <a:alpha val="96000"/>
              </a:schemeClr>
            </a:solidFill>
          </a:ln>
          <a:effectLst/>
        </c:spPr>
      </c:pivotFmt>
      <c:pivotFmt>
        <c:idx val="11"/>
        <c:spPr>
          <a:solidFill>
            <a:schemeClr val="bg1">
              <a:lumMod val="95000"/>
            </a:schemeClr>
          </a:solidFill>
          <a:ln w="19050">
            <a:solidFill>
              <a:schemeClr val="accent3">
                <a:alpha val="96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1C759C66-99D5-4FA0-80E6-9003EAEA766D}" type="VALUE">
                  <a:rPr lang="en-US">
                    <a:solidFill>
                      <a:schemeClr val="tx1"/>
                    </a:solidFill>
                  </a:rPr>
                  <a:pPr>
                    <a:defRPr>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bg2">
              <a:lumMod val="75000"/>
            </a:schemeClr>
          </a:solidFill>
          <a:ln w="19050">
            <a:solidFill>
              <a:schemeClr val="accent3">
                <a:alpha val="96000"/>
              </a:schemeClr>
            </a:solidFill>
          </a:ln>
          <a:effectLst/>
        </c:spPr>
      </c:pivotFmt>
      <c:pivotFmt>
        <c:idx val="13"/>
        <c:spPr>
          <a:solidFill>
            <a:schemeClr val="tx1">
              <a:lumMod val="65000"/>
              <a:lumOff val="35000"/>
            </a:schemeClr>
          </a:solidFill>
          <a:ln w="19050">
            <a:solidFill>
              <a:schemeClr val="accent3">
                <a:alpha val="96000"/>
              </a:schemeClr>
            </a:solidFill>
          </a:ln>
          <a:effectLst/>
        </c:spPr>
      </c:pivotFmt>
      <c:pivotFmt>
        <c:idx val="14"/>
        <c:spPr>
          <a:solidFill>
            <a:schemeClr val="tx1">
              <a:lumMod val="95000"/>
              <a:lumOff val="5000"/>
            </a:schemeClr>
          </a:solidFill>
          <a:ln w="19050">
            <a:solidFill>
              <a:schemeClr val="accent3">
                <a:alpha val="96000"/>
              </a:schemeClr>
            </a:solidFill>
          </a:ln>
          <a:effectLst/>
        </c:spPr>
      </c:pivotFmt>
    </c:pivotFmts>
    <c:plotArea>
      <c:layout>
        <c:manualLayout>
          <c:layoutTarget val="inner"/>
          <c:xMode val="edge"/>
          <c:yMode val="edge"/>
          <c:x val="0.23430466860933724"/>
          <c:y val="0.20171078728281136"/>
          <c:w val="0.28935793704920743"/>
          <c:h val="0.66513046163347234"/>
        </c:manualLayout>
      </c:layout>
      <c:doughnutChart>
        <c:varyColors val="1"/>
        <c:ser>
          <c:idx val="0"/>
          <c:order val="0"/>
          <c:tx>
            <c:strRef>
              <c:f>Sheet1!$F$3</c:f>
              <c:strCache>
                <c:ptCount val="1"/>
                <c:pt idx="0">
                  <c:v>Total</c:v>
                </c:pt>
              </c:strCache>
            </c:strRef>
          </c:tx>
          <c:spPr>
            <a:ln>
              <a:solidFill>
                <a:schemeClr val="accent3">
                  <a:alpha val="96000"/>
                </a:schemeClr>
              </a:solidFill>
            </a:ln>
          </c:spPr>
          <c:dPt>
            <c:idx val="0"/>
            <c:bubble3D val="0"/>
            <c:spPr>
              <a:solidFill>
                <a:schemeClr val="accent1"/>
              </a:solidFill>
              <a:ln w="19050">
                <a:solidFill>
                  <a:schemeClr val="accent3">
                    <a:alpha val="96000"/>
                  </a:schemeClr>
                </a:solidFill>
              </a:ln>
              <a:effectLst/>
            </c:spPr>
            <c:extLst>
              <c:ext xmlns:c16="http://schemas.microsoft.com/office/drawing/2014/chart" uri="{C3380CC4-5D6E-409C-BE32-E72D297353CC}">
                <c16:uniqueId val="{00000001-9938-43DA-9EF6-7B0AEBBA9AE7}"/>
              </c:ext>
            </c:extLst>
          </c:dPt>
          <c:dPt>
            <c:idx val="1"/>
            <c:bubble3D val="0"/>
            <c:spPr>
              <a:solidFill>
                <a:schemeClr val="accent2"/>
              </a:solidFill>
              <a:ln w="19050">
                <a:solidFill>
                  <a:schemeClr val="accent3">
                    <a:alpha val="96000"/>
                  </a:schemeClr>
                </a:solidFill>
              </a:ln>
              <a:effectLst/>
            </c:spPr>
            <c:extLst>
              <c:ext xmlns:c16="http://schemas.microsoft.com/office/drawing/2014/chart" uri="{C3380CC4-5D6E-409C-BE32-E72D297353CC}">
                <c16:uniqueId val="{00000003-9938-43DA-9EF6-7B0AEBBA9AE7}"/>
              </c:ext>
            </c:extLst>
          </c:dPt>
          <c:dPt>
            <c:idx val="2"/>
            <c:bubble3D val="0"/>
            <c:spPr>
              <a:solidFill>
                <a:schemeClr val="accent3"/>
              </a:solidFill>
              <a:ln w="19050">
                <a:solidFill>
                  <a:schemeClr val="accent3">
                    <a:alpha val="96000"/>
                  </a:schemeClr>
                </a:solidFill>
              </a:ln>
              <a:effectLst/>
            </c:spPr>
            <c:extLst>
              <c:ext xmlns:c16="http://schemas.microsoft.com/office/drawing/2014/chart" uri="{C3380CC4-5D6E-409C-BE32-E72D297353CC}">
                <c16:uniqueId val="{00000005-9938-43DA-9EF6-7B0AEBBA9AE7}"/>
              </c:ext>
            </c:extLst>
          </c:dPt>
          <c:dPt>
            <c:idx val="3"/>
            <c:bubble3D val="0"/>
            <c:spPr>
              <a:solidFill>
                <a:schemeClr val="accent4"/>
              </a:solidFill>
              <a:ln w="19050">
                <a:solidFill>
                  <a:schemeClr val="accent3">
                    <a:alpha val="96000"/>
                  </a:schemeClr>
                </a:solidFill>
              </a:ln>
              <a:effectLst/>
            </c:spPr>
            <c:extLst>
              <c:ext xmlns:c16="http://schemas.microsoft.com/office/drawing/2014/chart" uri="{C3380CC4-5D6E-409C-BE32-E72D297353CC}">
                <c16:uniqueId val="{00000007-9938-43DA-9EF6-7B0AEBBA9AE7}"/>
              </c:ext>
            </c:extLst>
          </c:dPt>
          <c:dPt>
            <c:idx val="4"/>
            <c:bubble3D val="0"/>
            <c:spPr>
              <a:solidFill>
                <a:schemeClr val="accent5"/>
              </a:solidFill>
              <a:ln w="19050">
                <a:solidFill>
                  <a:schemeClr val="accent3">
                    <a:alpha val="96000"/>
                  </a:schemeClr>
                </a:solidFill>
              </a:ln>
              <a:effectLst/>
            </c:spPr>
            <c:extLst>
              <c:ext xmlns:c16="http://schemas.microsoft.com/office/drawing/2014/chart" uri="{C3380CC4-5D6E-409C-BE32-E72D297353CC}">
                <c16:uniqueId val="{00000009-9938-43DA-9EF6-7B0AEBBA9AE7}"/>
              </c:ext>
            </c:extLst>
          </c:dPt>
          <c:dPt>
            <c:idx val="5"/>
            <c:bubble3D val="0"/>
            <c:spPr>
              <a:solidFill>
                <a:schemeClr val="accent6"/>
              </a:solidFill>
              <a:ln w="19050">
                <a:solidFill>
                  <a:schemeClr val="accent3">
                    <a:alpha val="96000"/>
                  </a:schemeClr>
                </a:solidFill>
              </a:ln>
              <a:effectLst/>
            </c:spPr>
            <c:extLst>
              <c:ext xmlns:c16="http://schemas.microsoft.com/office/drawing/2014/chart" uri="{C3380CC4-5D6E-409C-BE32-E72D297353CC}">
                <c16:uniqueId val="{0000000B-9938-43DA-9EF6-7B0AEBBA9A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Sheet1!$E$4</c:f>
              <c:strCache>
                <c:ptCount val="1"/>
                <c:pt idx="0">
                  <c:v>Grand Total</c:v>
                </c:pt>
              </c:strCache>
            </c:strRef>
          </c:cat>
          <c:val>
            <c:numRef>
              <c:f>Sheet1!$F$4</c:f>
              <c:numCache>
                <c:formatCode>General</c:formatCode>
                <c:ptCount val="1"/>
              </c:numCache>
            </c:numRef>
          </c:val>
          <c:extLst>
            <c:ext xmlns:c16="http://schemas.microsoft.com/office/drawing/2014/chart" uri="{C3380CC4-5D6E-409C-BE32-E72D297353CC}">
              <c16:uniqueId val="{0000000C-9938-43DA-9EF6-7B0AEBBA9AE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9474053838508276"/>
          <c:y val="0.18719739554056586"/>
          <c:w val="0.28636301414704113"/>
          <c:h val="0.691579539066891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DAshboard.xlsx]Sheet1!PivotTable8</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Seller By</a:t>
            </a:r>
            <a:r>
              <a:rPr lang="en-US" b="1" baseline="0">
                <a:solidFill>
                  <a:sysClr val="windowText" lastClr="000000"/>
                </a:solidFill>
              </a:rPr>
              <a:t> Revenue</a:t>
            </a:r>
            <a:endParaRPr lang="en-US" b="1">
              <a:solidFill>
                <a:sysClr val="windowText" lastClr="000000"/>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c:spPr>
      </c:pivotFmt>
      <c:pivotFmt>
        <c:idx val="5"/>
        <c:spPr>
          <a:solidFill>
            <a:schemeClr val="tx1">
              <a:lumMod val="75000"/>
              <a:lumOff val="25000"/>
            </a:schemeClr>
          </a:solidFill>
        </c:spPr>
      </c:pivotFmt>
      <c:pivotFmt>
        <c:idx val="6"/>
        <c:spPr>
          <a:solidFill>
            <a:schemeClr val="bg1">
              <a:lumMod val="85000"/>
            </a:schemeClr>
          </a:solidFill>
        </c:spPr>
      </c:pivotFmt>
      <c:pivotFmt>
        <c:idx val="7"/>
        <c:spPr>
          <a:solidFill>
            <a:schemeClr val="tx1">
              <a:lumMod val="95000"/>
              <a:lumOff val="5000"/>
            </a:schemeClr>
          </a:solidFill>
        </c:spPr>
      </c:pivotFmt>
      <c:pivotFmt>
        <c:idx val="8"/>
        <c:spPr>
          <a:solidFill>
            <a:srgbClr val="7030A0"/>
          </a:solidFill>
        </c:spPr>
      </c:pivotFmt>
    </c:pivotFmts>
    <c:plotArea>
      <c:layout/>
      <c:barChart>
        <c:barDir val="bar"/>
        <c:grouping val="clustered"/>
        <c:varyColors val="1"/>
        <c:dLbls>
          <c:showLegendKey val="0"/>
          <c:showVal val="0"/>
          <c:showCatName val="0"/>
          <c:showSerName val="0"/>
          <c:showPercent val="0"/>
          <c:showBubbleSize val="0"/>
        </c:dLbls>
        <c:gapWidth val="181"/>
        <c:axId val="805471800"/>
        <c:axId val="805472160"/>
      </c:barChart>
      <c:catAx>
        <c:axId val="805471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472160"/>
        <c:crosses val="autoZero"/>
        <c:auto val="1"/>
        <c:lblAlgn val="ctr"/>
        <c:lblOffset val="100"/>
        <c:noMultiLvlLbl val="0"/>
      </c:catAx>
      <c:valAx>
        <c:axId val="80547216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0547180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114300</xdr:rowOff>
    </xdr:from>
    <xdr:to>
      <xdr:col>18</xdr:col>
      <xdr:colOff>548640</xdr:colOff>
      <xdr:row>32</xdr:row>
      <xdr:rowOff>175260</xdr:rowOff>
    </xdr:to>
    <xdr:sp macro="" textlink="">
      <xdr:nvSpPr>
        <xdr:cNvPr id="2" name="Rectangle 1">
          <a:extLst>
            <a:ext uri="{FF2B5EF4-FFF2-40B4-BE49-F238E27FC236}">
              <a16:creationId xmlns:a16="http://schemas.microsoft.com/office/drawing/2014/main" id="{3A626D31-60C2-A75B-D373-6EDCAEFD42D1}"/>
            </a:ext>
          </a:extLst>
        </xdr:cNvPr>
        <xdr:cNvSpPr/>
      </xdr:nvSpPr>
      <xdr:spPr>
        <a:xfrm>
          <a:off x="114300" y="114300"/>
          <a:ext cx="11407140" cy="5913120"/>
        </a:xfrm>
        <a:prstGeom prst="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213360</xdr:colOff>
      <xdr:row>9</xdr:row>
      <xdr:rowOff>121920</xdr:rowOff>
    </xdr:from>
    <xdr:to>
      <xdr:col>2</xdr:col>
      <xdr:colOff>497610</xdr:colOff>
      <xdr:row>15</xdr:row>
      <xdr:rowOff>121920</xdr:rowOff>
    </xdr:to>
    <mc:AlternateContent xmlns:mc="http://schemas.openxmlformats.org/markup-compatibility/2006">
      <mc:Choice xmlns:a14="http://schemas.microsoft.com/office/drawing/2010/main" Requires="a14">
        <xdr:graphicFrame macro="">
          <xdr:nvGraphicFramePr>
            <xdr:cNvPr id="3" name="City 1">
              <a:extLst>
                <a:ext uri="{FF2B5EF4-FFF2-40B4-BE49-F238E27FC236}">
                  <a16:creationId xmlns:a16="http://schemas.microsoft.com/office/drawing/2014/main" id="{8415DDDC-96B2-4BE8-9255-FC0DE523BDD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13360" y="1767840"/>
              <a:ext cx="150345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213360</xdr:colOff>
      <xdr:row>3</xdr:row>
      <xdr:rowOff>76200</xdr:rowOff>
    </xdr:from>
    <xdr:to>
      <xdr:col>2</xdr:col>
      <xdr:colOff>497610</xdr:colOff>
      <xdr:row>9</xdr:row>
      <xdr:rowOff>129540</xdr:rowOff>
    </xdr:to>
    <mc:AlternateContent xmlns:mc="http://schemas.openxmlformats.org/markup-compatibility/2006">
      <mc:Choice xmlns:a14="http://schemas.microsoft.com/office/drawing/2010/main" Requires="a14">
        <xdr:graphicFrame macro="">
          <xdr:nvGraphicFramePr>
            <xdr:cNvPr id="4" name="Item 1">
              <a:extLst>
                <a:ext uri="{FF2B5EF4-FFF2-40B4-BE49-F238E27FC236}">
                  <a16:creationId xmlns:a16="http://schemas.microsoft.com/office/drawing/2014/main" id="{56F40247-4BE7-46EE-895A-7186A32990C3}"/>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213360" y="624840"/>
              <a:ext cx="150345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297180</xdr:colOff>
      <xdr:row>3</xdr:row>
      <xdr:rowOff>91440</xdr:rowOff>
    </xdr:from>
    <xdr:to>
      <xdr:col>12</xdr:col>
      <xdr:colOff>83820</xdr:colOff>
      <xdr:row>8</xdr:row>
      <xdr:rowOff>99060</xdr:rowOff>
    </xdr:to>
    <mc:AlternateContent xmlns:mc="http://schemas.openxmlformats.org/markup-compatibility/2006">
      <mc:Choice xmlns:tsle="http://schemas.microsoft.com/office/drawing/2012/timeslicer" Requires="tsle">
        <xdr:graphicFrame macro="">
          <xdr:nvGraphicFramePr>
            <xdr:cNvPr id="5" name="Date 1">
              <a:extLst>
                <a:ext uri="{FF2B5EF4-FFF2-40B4-BE49-F238E27FC236}">
                  <a16:creationId xmlns:a16="http://schemas.microsoft.com/office/drawing/2014/main" id="{1DD4DEFD-4D99-49F5-850C-5F5EDDA05E80}"/>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3954780" y="640080"/>
              <a:ext cx="344424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236220</xdr:colOff>
      <xdr:row>23</xdr:row>
      <xdr:rowOff>7620</xdr:rowOff>
    </xdr:from>
    <xdr:to>
      <xdr:col>18</xdr:col>
      <xdr:colOff>426720</xdr:colOff>
      <xdr:row>32</xdr:row>
      <xdr:rowOff>22860</xdr:rowOff>
    </xdr:to>
    <xdr:graphicFrame macro="">
      <xdr:nvGraphicFramePr>
        <xdr:cNvPr id="8" name="Chart 7">
          <a:extLst>
            <a:ext uri="{FF2B5EF4-FFF2-40B4-BE49-F238E27FC236}">
              <a16:creationId xmlns:a16="http://schemas.microsoft.com/office/drawing/2014/main" id="{F37C6ABD-FAB1-4B5D-8506-3600B3965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293370</xdr:colOff>
      <xdr:row>9</xdr:row>
      <xdr:rowOff>15240</xdr:rowOff>
    </xdr:from>
    <xdr:to>
      <xdr:col>12</xdr:col>
      <xdr:colOff>80970</xdr:colOff>
      <xdr:row>20</xdr:row>
      <xdr:rowOff>144780</xdr:rowOff>
    </xdr:to>
    <xdr:graphicFrame macro="">
      <xdr:nvGraphicFramePr>
        <xdr:cNvPr id="9" name="Chart 8">
          <a:extLst>
            <a:ext uri="{FF2B5EF4-FFF2-40B4-BE49-F238E27FC236}">
              <a16:creationId xmlns:a16="http://schemas.microsoft.com/office/drawing/2014/main" id="{7E6D4CF7-B628-4E4D-8C6F-691AA66C0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205740</xdr:colOff>
      <xdr:row>3</xdr:row>
      <xdr:rowOff>68580</xdr:rowOff>
    </xdr:from>
    <xdr:to>
      <xdr:col>18</xdr:col>
      <xdr:colOff>419100</xdr:colOff>
      <xdr:row>12</xdr:row>
      <xdr:rowOff>106680</xdr:rowOff>
    </xdr:to>
    <xdr:graphicFrame macro="">
      <xdr:nvGraphicFramePr>
        <xdr:cNvPr id="10" name="Chart 9">
          <a:extLst>
            <a:ext uri="{FF2B5EF4-FFF2-40B4-BE49-F238E27FC236}">
              <a16:creationId xmlns:a16="http://schemas.microsoft.com/office/drawing/2014/main" id="{FA773F98-E02F-42BD-A618-BD4F68BBA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45720</xdr:colOff>
      <xdr:row>3</xdr:row>
      <xdr:rowOff>160020</xdr:rowOff>
    </xdr:from>
    <xdr:to>
      <xdr:col>6</xdr:col>
      <xdr:colOff>137160</xdr:colOff>
      <xdr:row>8</xdr:row>
      <xdr:rowOff>167640</xdr:rowOff>
    </xdr:to>
    <xdr:sp macro="" textlink="">
      <xdr:nvSpPr>
        <xdr:cNvPr id="6" name="Rectangle: Rounded Corners 5">
          <a:extLst>
            <a:ext uri="{FF2B5EF4-FFF2-40B4-BE49-F238E27FC236}">
              <a16:creationId xmlns:a16="http://schemas.microsoft.com/office/drawing/2014/main" id="{DDA8E7EC-50F4-7ADD-2275-146B50807076}"/>
            </a:ext>
          </a:extLst>
        </xdr:cNvPr>
        <xdr:cNvSpPr/>
      </xdr:nvSpPr>
      <xdr:spPr>
        <a:xfrm>
          <a:off x="1874520" y="708660"/>
          <a:ext cx="1920240" cy="92202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n>
                <a:solidFill>
                  <a:schemeClr val="bg1"/>
                </a:solidFill>
              </a:ln>
              <a:solidFill>
                <a:sysClr val="windowText" lastClr="000000"/>
              </a:solidFill>
            </a:rPr>
            <a:t>Total</a:t>
          </a:r>
          <a:r>
            <a:rPr lang="en-IN" sz="2000" b="1">
              <a:ln>
                <a:solidFill>
                  <a:schemeClr val="bg1"/>
                </a:solidFill>
              </a:ln>
              <a:solidFill>
                <a:schemeClr val="bg1"/>
              </a:solidFill>
            </a:rPr>
            <a:t> </a:t>
          </a:r>
          <a:r>
            <a:rPr lang="en-IN" sz="2000" b="1">
              <a:ln>
                <a:solidFill>
                  <a:schemeClr val="bg1"/>
                </a:solidFill>
              </a:ln>
              <a:solidFill>
                <a:sysClr val="windowText" lastClr="000000"/>
              </a:solidFill>
            </a:rPr>
            <a:t>Sales</a:t>
          </a:r>
        </a:p>
        <a:p>
          <a:pPr algn="ctr"/>
          <a:endParaRPr lang="en-IN" sz="3200" b="1">
            <a:ln>
              <a:solidFill>
                <a:schemeClr val="bg1"/>
              </a:solidFill>
            </a:ln>
            <a:solidFill>
              <a:sysClr val="windowText" lastClr="000000"/>
            </a:solidFill>
          </a:endParaRPr>
        </a:p>
      </xdr:txBody>
    </xdr:sp>
    <xdr:clientData/>
  </xdr:twoCellAnchor>
  <xdr:twoCellAnchor>
    <xdr:from>
      <xdr:col>3</xdr:col>
      <xdr:colOff>60960</xdr:colOff>
      <xdr:row>16</xdr:row>
      <xdr:rowOff>121920</xdr:rowOff>
    </xdr:from>
    <xdr:to>
      <xdr:col>6</xdr:col>
      <xdr:colOff>213360</xdr:colOff>
      <xdr:row>23</xdr:row>
      <xdr:rowOff>60960</xdr:rowOff>
    </xdr:to>
    <xdr:sp macro="" textlink="">
      <xdr:nvSpPr>
        <xdr:cNvPr id="7" name="Rectangle: Rounded Corners 6">
          <a:extLst>
            <a:ext uri="{FF2B5EF4-FFF2-40B4-BE49-F238E27FC236}">
              <a16:creationId xmlns:a16="http://schemas.microsoft.com/office/drawing/2014/main" id="{B8FFA417-8286-4BB5-B05E-EBA4C4E6A300}"/>
            </a:ext>
          </a:extLst>
        </xdr:cNvPr>
        <xdr:cNvSpPr/>
      </xdr:nvSpPr>
      <xdr:spPr>
        <a:xfrm>
          <a:off x="1889760" y="3048000"/>
          <a:ext cx="1981200" cy="12192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n>
                <a:solidFill>
                  <a:schemeClr val="bg1"/>
                </a:solidFill>
              </a:ln>
              <a:solidFill>
                <a:sysClr val="windowText" lastClr="000000"/>
              </a:solidFill>
            </a:rPr>
            <a:t>Top</a:t>
          </a:r>
          <a:r>
            <a:rPr lang="en-IN" sz="2000" b="1" baseline="0">
              <a:ln>
                <a:solidFill>
                  <a:schemeClr val="bg1"/>
                </a:solidFill>
              </a:ln>
              <a:solidFill>
                <a:sysClr val="windowText" lastClr="000000"/>
              </a:solidFill>
            </a:rPr>
            <a:t> Product By Quantity</a:t>
          </a:r>
          <a:endParaRPr lang="en-IN" sz="2000" b="1">
            <a:ln>
              <a:solidFill>
                <a:schemeClr val="bg1"/>
              </a:solidFill>
            </a:ln>
            <a:solidFill>
              <a:sysClr val="windowText" lastClr="000000"/>
            </a:solidFill>
          </a:endParaRPr>
        </a:p>
      </xdr:txBody>
    </xdr:sp>
    <xdr:clientData/>
  </xdr:twoCellAnchor>
  <xdr:twoCellAnchor>
    <xdr:from>
      <xdr:col>3</xdr:col>
      <xdr:colOff>38100</xdr:colOff>
      <xdr:row>9</xdr:row>
      <xdr:rowOff>121920</xdr:rowOff>
    </xdr:from>
    <xdr:to>
      <xdr:col>6</xdr:col>
      <xdr:colOff>152400</xdr:colOff>
      <xdr:row>15</xdr:row>
      <xdr:rowOff>167640</xdr:rowOff>
    </xdr:to>
    <xdr:sp macro="" textlink="">
      <xdr:nvSpPr>
        <xdr:cNvPr id="11" name="Rectangle: Rounded Corners 10">
          <a:extLst>
            <a:ext uri="{FF2B5EF4-FFF2-40B4-BE49-F238E27FC236}">
              <a16:creationId xmlns:a16="http://schemas.microsoft.com/office/drawing/2014/main" id="{0558F024-5386-496B-9637-5D9AC0368135}"/>
            </a:ext>
          </a:extLst>
        </xdr:cNvPr>
        <xdr:cNvSpPr/>
      </xdr:nvSpPr>
      <xdr:spPr>
        <a:xfrm>
          <a:off x="1866900" y="1767840"/>
          <a:ext cx="1943100" cy="11430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n>
                <a:solidFill>
                  <a:schemeClr val="bg1"/>
                </a:solidFill>
              </a:ln>
              <a:solidFill>
                <a:schemeClr val="tx1"/>
              </a:solidFill>
            </a:rPr>
            <a:t>Total Quantity Sold </a:t>
          </a:r>
          <a:endParaRPr lang="en-IN" sz="1600" b="1">
            <a:ln>
              <a:solidFill>
                <a:schemeClr val="bg1"/>
              </a:solidFill>
            </a:ln>
            <a:solidFill>
              <a:schemeClr val="tx1"/>
            </a:solidFill>
          </a:endParaRPr>
        </a:p>
      </xdr:txBody>
    </xdr:sp>
    <xdr:clientData/>
  </xdr:twoCellAnchor>
  <xdr:twoCellAnchor>
    <xdr:from>
      <xdr:col>3</xdr:col>
      <xdr:colOff>182880</xdr:colOff>
      <xdr:row>6</xdr:row>
      <xdr:rowOff>7620</xdr:rowOff>
    </xdr:from>
    <xdr:to>
      <xdr:col>5</xdr:col>
      <xdr:colOff>563880</xdr:colOff>
      <xdr:row>8</xdr:row>
      <xdr:rowOff>76200</xdr:rowOff>
    </xdr:to>
    <xdr:sp macro="" textlink="Sheet1!B23">
      <xdr:nvSpPr>
        <xdr:cNvPr id="12" name="TextBox 11">
          <a:extLst>
            <a:ext uri="{FF2B5EF4-FFF2-40B4-BE49-F238E27FC236}">
              <a16:creationId xmlns:a16="http://schemas.microsoft.com/office/drawing/2014/main" id="{43ED7F5F-3879-5843-4935-1D31EB5DE9AD}"/>
            </a:ext>
          </a:extLst>
        </xdr:cNvPr>
        <xdr:cNvSpPr txBox="1"/>
      </xdr:nvSpPr>
      <xdr:spPr>
        <a:xfrm>
          <a:off x="2011680" y="1104900"/>
          <a:ext cx="1600200" cy="4343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0A7319-99B9-4FA7-A764-C78FFBFF6784}" type="TxLink">
            <a:rPr lang="en-US" sz="2000" b="0" i="0" u="none" strike="noStrike">
              <a:solidFill>
                <a:schemeClr val="tx1">
                  <a:lumMod val="65000"/>
                  <a:lumOff val="35000"/>
                </a:schemeClr>
              </a:solidFill>
              <a:latin typeface="Calibri"/>
              <a:ea typeface="Calibri"/>
              <a:cs typeface="Calibri"/>
            </a:rPr>
            <a:pPr algn="ctr"/>
            <a:t>₹ 0</a:t>
          </a:fld>
          <a:endParaRPr lang="en-IN" sz="2000" b="0">
            <a:solidFill>
              <a:schemeClr val="tx1">
                <a:lumMod val="65000"/>
                <a:lumOff val="35000"/>
              </a:schemeClr>
            </a:solidFill>
          </a:endParaRPr>
        </a:p>
      </xdr:txBody>
    </xdr:sp>
    <xdr:clientData/>
  </xdr:twoCellAnchor>
  <xdr:twoCellAnchor>
    <xdr:from>
      <xdr:col>3</xdr:col>
      <xdr:colOff>297180</xdr:colOff>
      <xdr:row>13</xdr:row>
      <xdr:rowOff>99060</xdr:rowOff>
    </xdr:from>
    <xdr:to>
      <xdr:col>5</xdr:col>
      <xdr:colOff>487680</xdr:colOff>
      <xdr:row>15</xdr:row>
      <xdr:rowOff>129540</xdr:rowOff>
    </xdr:to>
    <xdr:sp macro="" textlink="Sheet1!F18">
      <xdr:nvSpPr>
        <xdr:cNvPr id="13" name="TextBox 12">
          <a:extLst>
            <a:ext uri="{FF2B5EF4-FFF2-40B4-BE49-F238E27FC236}">
              <a16:creationId xmlns:a16="http://schemas.microsoft.com/office/drawing/2014/main" id="{7BC84229-5D26-8F4D-4AA0-121E381AEEEC}"/>
            </a:ext>
          </a:extLst>
        </xdr:cNvPr>
        <xdr:cNvSpPr txBox="1"/>
      </xdr:nvSpPr>
      <xdr:spPr>
        <a:xfrm>
          <a:off x="2125980" y="2476500"/>
          <a:ext cx="1409700" cy="3962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197A9F-57EB-4D33-906E-948D28E1FE3F}" type="TxLink">
            <a:rPr lang="en-US" sz="2000" b="0" i="0" u="none" strike="noStrike">
              <a:solidFill>
                <a:schemeClr val="tx1">
                  <a:lumMod val="65000"/>
                  <a:lumOff val="35000"/>
                </a:schemeClr>
              </a:solidFill>
              <a:latin typeface="Calibri"/>
              <a:ea typeface="Calibri"/>
              <a:cs typeface="Calibri"/>
            </a:rPr>
            <a:pPr algn="ctr"/>
            <a:t>0 </a:t>
          </a:fld>
          <a:endParaRPr lang="en-IN" sz="2000">
            <a:solidFill>
              <a:schemeClr val="tx1">
                <a:lumMod val="65000"/>
                <a:lumOff val="35000"/>
              </a:schemeClr>
            </a:solidFill>
          </a:endParaRPr>
        </a:p>
      </xdr:txBody>
    </xdr:sp>
    <xdr:clientData/>
  </xdr:twoCellAnchor>
  <xdr:twoCellAnchor>
    <xdr:from>
      <xdr:col>3</xdr:col>
      <xdr:colOff>464820</xdr:colOff>
      <xdr:row>20</xdr:row>
      <xdr:rowOff>106680</xdr:rowOff>
    </xdr:from>
    <xdr:to>
      <xdr:col>5</xdr:col>
      <xdr:colOff>449580</xdr:colOff>
      <xdr:row>22</xdr:row>
      <xdr:rowOff>91440</xdr:rowOff>
    </xdr:to>
    <xdr:sp macro="" textlink="Sheet1!J3">
      <xdr:nvSpPr>
        <xdr:cNvPr id="14" name="TextBox 13">
          <a:extLst>
            <a:ext uri="{FF2B5EF4-FFF2-40B4-BE49-F238E27FC236}">
              <a16:creationId xmlns:a16="http://schemas.microsoft.com/office/drawing/2014/main" id="{2569009A-3783-67A6-00A1-7BCAB430EF7D}"/>
            </a:ext>
          </a:extLst>
        </xdr:cNvPr>
        <xdr:cNvSpPr txBox="1"/>
      </xdr:nvSpPr>
      <xdr:spPr>
        <a:xfrm>
          <a:off x="2293620" y="3764280"/>
          <a:ext cx="1203960" cy="3505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F64D302-A2CC-4EDD-A8C2-92BD836BE307}" type="TxLink">
            <a:rPr lang="en-US" sz="2000" b="0" i="0" u="none" strike="noStrike">
              <a:solidFill>
                <a:schemeClr val="tx1">
                  <a:lumMod val="65000"/>
                  <a:lumOff val="35000"/>
                </a:schemeClr>
              </a:solidFill>
              <a:latin typeface="Calibri"/>
              <a:ea typeface="Calibri"/>
              <a:cs typeface="Calibri"/>
            </a:rPr>
            <a:t>0</a:t>
          </a:fld>
          <a:endParaRPr lang="en-IN" sz="2000">
            <a:solidFill>
              <a:schemeClr val="tx1">
                <a:lumMod val="65000"/>
                <a:lumOff val="35000"/>
              </a:schemeClr>
            </a:solidFill>
          </a:endParaRPr>
        </a:p>
      </xdr:txBody>
    </xdr:sp>
    <xdr:clientData/>
  </xdr:twoCellAnchor>
  <xdr:twoCellAnchor>
    <xdr:from>
      <xdr:col>0</xdr:col>
      <xdr:colOff>198121</xdr:colOff>
      <xdr:row>1</xdr:row>
      <xdr:rowOff>7620</xdr:rowOff>
    </xdr:from>
    <xdr:to>
      <xdr:col>18</xdr:col>
      <xdr:colOff>388620</xdr:colOff>
      <xdr:row>3</xdr:row>
      <xdr:rowOff>7620</xdr:rowOff>
    </xdr:to>
    <xdr:sp macro="" textlink="">
      <xdr:nvSpPr>
        <xdr:cNvPr id="15" name="TextBox 14">
          <a:extLst>
            <a:ext uri="{FF2B5EF4-FFF2-40B4-BE49-F238E27FC236}">
              <a16:creationId xmlns:a16="http://schemas.microsoft.com/office/drawing/2014/main" id="{47BD46A8-213A-924F-0CE9-212A4BA8078C}"/>
            </a:ext>
          </a:extLst>
        </xdr:cNvPr>
        <xdr:cNvSpPr txBox="1"/>
      </xdr:nvSpPr>
      <xdr:spPr>
        <a:xfrm>
          <a:off x="198121" y="190500"/>
          <a:ext cx="11163299" cy="3657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ysClr val="windowText" lastClr="000000"/>
              </a:solidFill>
            </a:rPr>
            <a:t>Sales Performance Dashboard</a:t>
          </a:r>
        </a:p>
      </xdr:txBody>
    </xdr:sp>
    <xdr:clientData/>
  </xdr:twoCellAnchor>
  <xdr:twoCellAnchor>
    <xdr:from>
      <xdr:col>12</xdr:col>
      <xdr:colOff>213360</xdr:colOff>
      <xdr:row>12</xdr:row>
      <xdr:rowOff>160020</xdr:rowOff>
    </xdr:from>
    <xdr:to>
      <xdr:col>18</xdr:col>
      <xdr:colOff>434340</xdr:colOff>
      <xdr:row>22</xdr:row>
      <xdr:rowOff>95220</xdr:rowOff>
    </xdr:to>
    <xdr:graphicFrame macro="">
      <xdr:nvGraphicFramePr>
        <xdr:cNvPr id="16" name="Chart 15">
          <a:extLst>
            <a:ext uri="{FF2B5EF4-FFF2-40B4-BE49-F238E27FC236}">
              <a16:creationId xmlns:a16="http://schemas.microsoft.com/office/drawing/2014/main" id="{500B779C-56C9-4CA4-8DAC-B96975E84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205740</xdr:colOff>
      <xdr:row>15</xdr:row>
      <xdr:rowOff>121921</xdr:rowOff>
    </xdr:from>
    <xdr:to>
      <xdr:col>2</xdr:col>
      <xdr:colOff>518160</xdr:colOff>
      <xdr:row>23</xdr:row>
      <xdr:rowOff>15241</xdr:rowOff>
    </xdr:to>
    <mc:AlternateContent xmlns:mc="http://schemas.openxmlformats.org/markup-compatibility/2006">
      <mc:Choice xmlns:a14="http://schemas.microsoft.com/office/drawing/2010/main" Requires="a14">
        <xdr:graphicFrame macro="">
          <xdr:nvGraphicFramePr>
            <xdr:cNvPr id="17" name="Days 1">
              <a:extLst>
                <a:ext uri="{FF2B5EF4-FFF2-40B4-BE49-F238E27FC236}">
                  <a16:creationId xmlns:a16="http://schemas.microsoft.com/office/drawing/2014/main" id="{70DC5C4F-83E7-4E61-A33B-7D4644141D9F}"/>
                </a:ext>
              </a:extLst>
            </xdr:cNvPr>
            <xdr:cNvGraphicFramePr/>
          </xdr:nvGraphicFramePr>
          <xdr:xfrm>
            <a:off x="0" y="0"/>
            <a:ext cx="0" cy="0"/>
          </xdr:xfrm>
          <a:graphic>
            <a:graphicData uri="http://schemas.microsoft.com/office/drawing/2010/slicer">
              <sle:slicer xmlns:sle="http://schemas.microsoft.com/office/drawing/2010/slicer" name="Days 1"/>
            </a:graphicData>
          </a:graphic>
        </xdr:graphicFrame>
      </mc:Choice>
      <mc:Fallback>
        <xdr:sp macro="" textlink="">
          <xdr:nvSpPr>
            <xdr:cNvPr id="0" name=""/>
            <xdr:cNvSpPr>
              <a:spLocks noTextEdit="1"/>
            </xdr:cNvSpPr>
          </xdr:nvSpPr>
          <xdr:spPr>
            <a:xfrm>
              <a:off x="205740" y="2865121"/>
              <a:ext cx="153162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68580</xdr:colOff>
      <xdr:row>24</xdr:row>
      <xdr:rowOff>38100</xdr:rowOff>
    </xdr:from>
    <xdr:to>
      <xdr:col>6</xdr:col>
      <xdr:colOff>220980</xdr:colOff>
      <xdr:row>30</xdr:row>
      <xdr:rowOff>160020</xdr:rowOff>
    </xdr:to>
    <xdr:sp macro="" textlink="">
      <xdr:nvSpPr>
        <xdr:cNvPr id="18" name="Rectangle: Rounded Corners 17">
          <a:extLst>
            <a:ext uri="{FF2B5EF4-FFF2-40B4-BE49-F238E27FC236}">
              <a16:creationId xmlns:a16="http://schemas.microsoft.com/office/drawing/2014/main" id="{69BFCA1A-ECE8-48CE-886F-0AAE268F9E16}"/>
            </a:ext>
          </a:extLst>
        </xdr:cNvPr>
        <xdr:cNvSpPr/>
      </xdr:nvSpPr>
      <xdr:spPr>
        <a:xfrm>
          <a:off x="1897380" y="4427220"/>
          <a:ext cx="1981200" cy="12192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n>
                <a:solidFill>
                  <a:schemeClr val="bg1"/>
                </a:solidFill>
              </a:ln>
              <a:solidFill>
                <a:sysClr val="windowText" lastClr="000000"/>
              </a:solidFill>
            </a:rPr>
            <a:t>Top</a:t>
          </a:r>
          <a:r>
            <a:rPr lang="en-IN" sz="2000" b="1" baseline="0">
              <a:ln>
                <a:solidFill>
                  <a:schemeClr val="bg1"/>
                </a:solidFill>
              </a:ln>
              <a:solidFill>
                <a:sysClr val="windowText" lastClr="000000"/>
              </a:solidFill>
            </a:rPr>
            <a:t> Seller By Revenue</a:t>
          </a:r>
          <a:endParaRPr lang="en-IN" sz="2000" b="1">
            <a:ln>
              <a:solidFill>
                <a:schemeClr val="bg1"/>
              </a:solidFill>
            </a:ln>
            <a:solidFill>
              <a:sysClr val="windowText" lastClr="000000"/>
            </a:solidFill>
          </a:endParaRPr>
        </a:p>
      </xdr:txBody>
    </xdr:sp>
    <xdr:clientData/>
  </xdr:twoCellAnchor>
  <xdr:twoCellAnchor>
    <xdr:from>
      <xdr:col>3</xdr:col>
      <xdr:colOff>53340</xdr:colOff>
      <xdr:row>27</xdr:row>
      <xdr:rowOff>152400</xdr:rowOff>
    </xdr:from>
    <xdr:to>
      <xdr:col>6</xdr:col>
      <xdr:colOff>228600</xdr:colOff>
      <xdr:row>30</xdr:row>
      <xdr:rowOff>7620</xdr:rowOff>
    </xdr:to>
    <xdr:sp macro="" textlink="Sheet1!I29">
      <xdr:nvSpPr>
        <xdr:cNvPr id="21" name="TextBox 20">
          <a:extLst>
            <a:ext uri="{FF2B5EF4-FFF2-40B4-BE49-F238E27FC236}">
              <a16:creationId xmlns:a16="http://schemas.microsoft.com/office/drawing/2014/main" id="{4D089762-1EEB-4533-B114-1833530AD970}"/>
            </a:ext>
          </a:extLst>
        </xdr:cNvPr>
        <xdr:cNvSpPr txBox="1"/>
      </xdr:nvSpPr>
      <xdr:spPr>
        <a:xfrm>
          <a:off x="1882140" y="5090160"/>
          <a:ext cx="2004060" cy="4038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443F4C-6C15-4430-B74B-26F00E095080}" type="TxLink">
            <a:rPr lang="en-US" sz="2000" b="0" i="0" u="none" strike="noStrike">
              <a:solidFill>
                <a:schemeClr val="tx1">
                  <a:lumMod val="65000"/>
                  <a:lumOff val="35000"/>
                </a:schemeClr>
              </a:solidFill>
              <a:latin typeface="Calibri"/>
              <a:ea typeface="Calibri"/>
              <a:cs typeface="Calibri"/>
            </a:rPr>
            <a:t>0</a:t>
          </a:fld>
          <a:endParaRPr lang="en-IN" sz="2000">
            <a:solidFill>
              <a:schemeClr val="tx1">
                <a:lumMod val="65000"/>
                <a:lumOff val="35000"/>
              </a:schemeClr>
            </a:solidFill>
          </a:endParaRPr>
        </a:p>
      </xdr:txBody>
    </xdr:sp>
    <xdr:clientData/>
  </xdr:twoCellAnchor>
  <xdr:twoCellAnchor editAs="oneCell">
    <xdr:from>
      <xdr:col>0</xdr:col>
      <xdr:colOff>220980</xdr:colOff>
      <xdr:row>23</xdr:row>
      <xdr:rowOff>22860</xdr:rowOff>
    </xdr:from>
    <xdr:to>
      <xdr:col>2</xdr:col>
      <xdr:colOff>533400</xdr:colOff>
      <xdr:row>32</xdr:row>
      <xdr:rowOff>38100</xdr:rowOff>
    </xdr:to>
    <mc:AlternateContent xmlns:mc="http://schemas.openxmlformats.org/markup-compatibility/2006">
      <mc:Choice xmlns:a14="http://schemas.microsoft.com/office/drawing/2010/main" Requires="a14">
        <xdr:graphicFrame macro="">
          <xdr:nvGraphicFramePr>
            <xdr:cNvPr id="22" name="Seller 1">
              <a:extLst>
                <a:ext uri="{FF2B5EF4-FFF2-40B4-BE49-F238E27FC236}">
                  <a16:creationId xmlns:a16="http://schemas.microsoft.com/office/drawing/2014/main" id="{FA2FBB6A-3829-4E9A-A655-0A3B99605992}"/>
                </a:ext>
              </a:extLst>
            </xdr:cNvPr>
            <xdr:cNvGraphicFramePr/>
          </xdr:nvGraphicFramePr>
          <xdr:xfrm>
            <a:off x="0" y="0"/>
            <a:ext cx="0" cy="0"/>
          </xdr:xfrm>
          <a:graphic>
            <a:graphicData uri="http://schemas.microsoft.com/office/drawing/2010/slicer">
              <sle:slicer xmlns:sle="http://schemas.microsoft.com/office/drawing/2010/slicer" name="Seller 1"/>
            </a:graphicData>
          </a:graphic>
        </xdr:graphicFrame>
      </mc:Choice>
      <mc:Fallback>
        <xdr:sp macro="" textlink="">
          <xdr:nvSpPr>
            <xdr:cNvPr id="0" name=""/>
            <xdr:cNvSpPr>
              <a:spLocks noTextEdit="1"/>
            </xdr:cNvSpPr>
          </xdr:nvSpPr>
          <xdr:spPr>
            <a:xfrm>
              <a:off x="220980" y="4229100"/>
              <a:ext cx="153162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320040</xdr:colOff>
      <xdr:row>21</xdr:row>
      <xdr:rowOff>76200</xdr:rowOff>
    </xdr:from>
    <xdr:to>
      <xdr:col>12</xdr:col>
      <xdr:colOff>45720</xdr:colOff>
      <xdr:row>32</xdr:row>
      <xdr:rowOff>45720</xdr:rowOff>
    </xdr:to>
    <xdr:sp macro="" textlink="">
      <xdr:nvSpPr>
        <xdr:cNvPr id="25" name="Rectangle 24">
          <a:extLst>
            <a:ext uri="{FF2B5EF4-FFF2-40B4-BE49-F238E27FC236}">
              <a16:creationId xmlns:a16="http://schemas.microsoft.com/office/drawing/2014/main" id="{04CCC77D-0CFD-4D59-2900-F8241EB036A6}"/>
            </a:ext>
          </a:extLst>
        </xdr:cNvPr>
        <xdr:cNvSpPr/>
      </xdr:nvSpPr>
      <xdr:spPr>
        <a:xfrm>
          <a:off x="3977640" y="3916680"/>
          <a:ext cx="3383280" cy="19812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289560</xdr:colOff>
      <xdr:row>21</xdr:row>
      <xdr:rowOff>68580</xdr:rowOff>
    </xdr:from>
    <xdr:to>
      <xdr:col>12</xdr:col>
      <xdr:colOff>76200</xdr:colOff>
      <xdr:row>23</xdr:row>
      <xdr:rowOff>167640</xdr:rowOff>
    </xdr:to>
    <xdr:sp macro="" textlink="">
      <xdr:nvSpPr>
        <xdr:cNvPr id="26" name="TextBox 25">
          <a:extLst>
            <a:ext uri="{FF2B5EF4-FFF2-40B4-BE49-F238E27FC236}">
              <a16:creationId xmlns:a16="http://schemas.microsoft.com/office/drawing/2014/main" id="{0781EB1A-CE50-130A-C732-FD5A9A2DBD75}"/>
            </a:ext>
          </a:extLst>
        </xdr:cNvPr>
        <xdr:cNvSpPr txBox="1"/>
      </xdr:nvSpPr>
      <xdr:spPr>
        <a:xfrm>
          <a:off x="3947160" y="3909060"/>
          <a:ext cx="3444240" cy="464820"/>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Dashboard</a:t>
          </a:r>
          <a:r>
            <a:rPr lang="en-IN" sz="1800" b="1" baseline="0">
              <a:solidFill>
                <a:schemeClr val="bg1"/>
              </a:solidFill>
            </a:rPr>
            <a:t> Overview</a:t>
          </a:r>
          <a:endParaRPr lang="en-IN" sz="1800" b="1">
            <a:solidFill>
              <a:schemeClr val="bg1"/>
            </a:solidFill>
          </a:endParaRPr>
        </a:p>
      </xdr:txBody>
    </xdr:sp>
    <xdr:clientData/>
  </xdr:twoCellAnchor>
  <xdr:twoCellAnchor>
    <xdr:from>
      <xdr:col>6</xdr:col>
      <xdr:colOff>358140</xdr:colOff>
      <xdr:row>24</xdr:row>
      <xdr:rowOff>30480</xdr:rowOff>
    </xdr:from>
    <xdr:to>
      <xdr:col>12</xdr:col>
      <xdr:colOff>60960</xdr:colOff>
      <xdr:row>27</xdr:row>
      <xdr:rowOff>144780</xdr:rowOff>
    </xdr:to>
    <xdr:sp macro="" textlink="">
      <xdr:nvSpPr>
        <xdr:cNvPr id="27" name="TextBox 26">
          <a:extLst>
            <a:ext uri="{FF2B5EF4-FFF2-40B4-BE49-F238E27FC236}">
              <a16:creationId xmlns:a16="http://schemas.microsoft.com/office/drawing/2014/main" id="{CBF53EE6-94DB-55AD-0683-132C0BD323D2}"/>
            </a:ext>
          </a:extLst>
        </xdr:cNvPr>
        <xdr:cNvSpPr txBox="1"/>
      </xdr:nvSpPr>
      <xdr:spPr>
        <a:xfrm>
          <a:off x="4015740" y="4419600"/>
          <a:ext cx="3360420" cy="6629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a:t>Analyze sales by city, product, seller and month.</a:t>
          </a:r>
        </a:p>
      </xdr:txBody>
    </xdr:sp>
    <xdr:clientData/>
  </xdr:twoCellAnchor>
  <xdr:twoCellAnchor>
    <xdr:from>
      <xdr:col>6</xdr:col>
      <xdr:colOff>342900</xdr:colOff>
      <xdr:row>26</xdr:row>
      <xdr:rowOff>160020</xdr:rowOff>
    </xdr:from>
    <xdr:to>
      <xdr:col>11</xdr:col>
      <xdr:colOff>571500</xdr:colOff>
      <xdr:row>29</xdr:row>
      <xdr:rowOff>152400</xdr:rowOff>
    </xdr:to>
    <xdr:sp macro="" textlink="">
      <xdr:nvSpPr>
        <xdr:cNvPr id="30" name="TextBox 29">
          <a:extLst>
            <a:ext uri="{FF2B5EF4-FFF2-40B4-BE49-F238E27FC236}">
              <a16:creationId xmlns:a16="http://schemas.microsoft.com/office/drawing/2014/main" id="{D3344D4E-D058-57F0-EACF-C218DFAE4757}"/>
            </a:ext>
          </a:extLst>
        </xdr:cNvPr>
        <xdr:cNvSpPr txBox="1"/>
      </xdr:nvSpPr>
      <xdr:spPr>
        <a:xfrm>
          <a:off x="4000500" y="4914900"/>
          <a:ext cx="3276600" cy="5410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Use slicers to explore performance.</a:t>
          </a:r>
        </a:p>
      </xdr:txBody>
    </xdr:sp>
    <xdr:clientData/>
  </xdr:twoCellAnchor>
  <xdr:twoCellAnchor>
    <xdr:from>
      <xdr:col>6</xdr:col>
      <xdr:colOff>342900</xdr:colOff>
      <xdr:row>28</xdr:row>
      <xdr:rowOff>160020</xdr:rowOff>
    </xdr:from>
    <xdr:to>
      <xdr:col>11</xdr:col>
      <xdr:colOff>571500</xdr:colOff>
      <xdr:row>31</xdr:row>
      <xdr:rowOff>152400</xdr:rowOff>
    </xdr:to>
    <xdr:sp macro="" textlink="">
      <xdr:nvSpPr>
        <xdr:cNvPr id="31" name="TextBox 30">
          <a:extLst>
            <a:ext uri="{FF2B5EF4-FFF2-40B4-BE49-F238E27FC236}">
              <a16:creationId xmlns:a16="http://schemas.microsoft.com/office/drawing/2014/main" id="{0CC0BDAB-B10E-4C49-8844-769D321B083D}"/>
            </a:ext>
          </a:extLst>
        </xdr:cNvPr>
        <xdr:cNvSpPr txBox="1"/>
      </xdr:nvSpPr>
      <xdr:spPr>
        <a:xfrm>
          <a:off x="4000500" y="5280660"/>
          <a:ext cx="3276600" cy="5410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KPI cards update dynamically based on filters.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1.630991435188" createdVersion="8" refreshedVersion="8" minRefreshableVersion="3" recordCount="144" xr:uid="{80EC24B0-0573-4913-81EF-C8FC239DE3A8}">
  <cacheSource type="worksheet">
    <worksheetSource name="Table1"/>
  </cacheSource>
  <cacheFields count="11">
    <cacheField name="S.N" numFmtId="0">
      <sharedItems containsSemiMixedTypes="0" containsString="0" containsNumber="1" containsInteger="1" minValue="1" maxValue="144"/>
    </cacheField>
    <cacheField name="Seller" numFmtId="0">
      <sharedItems count="6">
        <s v="SHIVAM VERMA"/>
        <s v="ADITYA KUMAR"/>
        <s v="RAM PRAVESH"/>
        <s v="NITESH CHAURASIYA"/>
        <s v="GAJENDRA SINGH"/>
        <s v="ABHISHEK DIXIT"/>
      </sharedItems>
    </cacheField>
    <cacheField name="City" numFmtId="0">
      <sharedItems count="3">
        <s v="Sitapur"/>
        <s v="Lakhimpur"/>
        <s v="Lucknow"/>
      </sharedItems>
    </cacheField>
    <cacheField name="Date" numFmtId="14">
      <sharedItems containsSemiMixedTypes="0" containsNonDate="0" containsDate="1" containsString="0" minDate="2025-01-01T00:00:00" maxDate="2025-04-06T00:00:00" count="20">
        <d v="2025-01-01T00:00:00"/>
        <d v="2025-01-02T00:00:00"/>
        <d v="2025-01-03T00:00:00"/>
        <d v="2025-01-04T00:00:00"/>
        <d v="2025-01-05T00:00:00"/>
        <d v="2025-02-01T00:00:00"/>
        <d v="2025-02-02T00:00:00"/>
        <d v="2025-02-03T00:00:00"/>
        <d v="2025-02-04T00:00:00"/>
        <d v="2025-02-05T00:00:00"/>
        <d v="2025-03-01T00:00:00"/>
        <d v="2025-03-02T00:00:00"/>
        <d v="2025-03-03T00:00:00"/>
        <d v="2025-03-04T00:00:00"/>
        <d v="2025-03-05T00:00:00"/>
        <d v="2025-04-01T00:00:00"/>
        <d v="2025-04-02T00:00:00"/>
        <d v="2025-04-03T00:00:00"/>
        <d v="2025-04-04T00:00:00"/>
        <d v="2025-04-05T00:00:00"/>
      </sharedItems>
      <fieldGroup par="10"/>
    </cacheField>
    <cacheField name="Item" numFmtId="0">
      <sharedItems count="6">
        <s v="Mouse"/>
        <s v="Keyboard"/>
        <s v="RAM"/>
        <s v="SSD"/>
        <s v="Mic"/>
        <s v="M/B"/>
      </sharedItems>
    </cacheField>
    <cacheField name="Qty" numFmtId="0">
      <sharedItems containsSemiMixedTypes="0" containsString="0" containsNumber="1" containsInteger="1" minValue="4" maxValue="16"/>
    </cacheField>
    <cacheField name="Rate" numFmtId="0">
      <sharedItems containsSemiMixedTypes="0" containsString="0" containsNumber="1" containsInteger="1" minValue="150" maxValue="8000"/>
    </cacheField>
    <cacheField name="Total" numFmtId="0">
      <sharedItems containsSemiMixedTypes="0" containsString="0" containsNumber="1" containsInteger="1" minValue="600" maxValue="128000"/>
    </cacheField>
    <cacheField name="Days" numFmtId="0">
      <sharedItems count="7">
        <s v="Wed"/>
        <s v="Thu"/>
        <s v="Fri"/>
        <s v="Sat"/>
        <s v="Sun"/>
        <s v="Mon"/>
        <s v="Tue"/>
      </sharedItems>
    </cacheField>
    <cacheField name="Days (Date)" numFmtId="0" databaseField="0">
      <fieldGroup base="3">
        <rangePr groupBy="days" startDate="2025-01-01T00:00:00" endDate="2025-04-06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6-04-2025"/>
        </groupItems>
      </fieldGroup>
    </cacheField>
    <cacheField name="Months (Date)" numFmtId="0" databaseField="0">
      <fieldGroup base="3">
        <rangePr groupBy="months" startDate="2025-01-01T00:00:00" endDate="2025-04-06T00:00:00"/>
        <groupItems count="14">
          <s v="&lt;01-01-2025"/>
          <s v="Jan"/>
          <s v="Feb"/>
          <s v="Mar"/>
          <s v="Apr"/>
          <s v="May"/>
          <s v="Jun"/>
          <s v="Jul"/>
          <s v="Aug"/>
          <s v="Sep"/>
          <s v="Oct"/>
          <s v="Nov"/>
          <s v="Dec"/>
          <s v="&gt;06-04-2025"/>
        </groupItems>
      </fieldGroup>
    </cacheField>
  </cacheFields>
  <extLst>
    <ext xmlns:x14="http://schemas.microsoft.com/office/spreadsheetml/2009/9/main" uri="{725AE2AE-9491-48be-B2B4-4EB974FC3084}">
      <x14:pivotCacheDefinition pivotCacheId="14011949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n v="1"/>
    <x v="0"/>
    <x v="0"/>
    <x v="0"/>
    <x v="0"/>
    <n v="4"/>
    <n v="150"/>
    <n v="600"/>
    <x v="0"/>
  </r>
  <r>
    <n v="2"/>
    <x v="0"/>
    <x v="0"/>
    <x v="0"/>
    <x v="1"/>
    <n v="9"/>
    <n v="350"/>
    <n v="3150"/>
    <x v="0"/>
  </r>
  <r>
    <n v="3"/>
    <x v="0"/>
    <x v="0"/>
    <x v="0"/>
    <x v="2"/>
    <n v="4"/>
    <n v="1800"/>
    <n v="7200"/>
    <x v="0"/>
  </r>
  <r>
    <n v="4"/>
    <x v="0"/>
    <x v="0"/>
    <x v="0"/>
    <x v="3"/>
    <n v="16"/>
    <n v="2300"/>
    <n v="36800"/>
    <x v="0"/>
  </r>
  <r>
    <n v="5"/>
    <x v="0"/>
    <x v="0"/>
    <x v="0"/>
    <x v="4"/>
    <n v="13"/>
    <n v="4000"/>
    <n v="52000"/>
    <x v="0"/>
  </r>
  <r>
    <n v="6"/>
    <x v="0"/>
    <x v="0"/>
    <x v="0"/>
    <x v="5"/>
    <n v="9"/>
    <n v="8000"/>
    <n v="72000"/>
    <x v="0"/>
  </r>
  <r>
    <n v="7"/>
    <x v="1"/>
    <x v="1"/>
    <x v="1"/>
    <x v="0"/>
    <n v="14"/>
    <n v="150"/>
    <n v="2100"/>
    <x v="1"/>
  </r>
  <r>
    <n v="8"/>
    <x v="2"/>
    <x v="1"/>
    <x v="1"/>
    <x v="0"/>
    <n v="13"/>
    <n v="150"/>
    <n v="1950"/>
    <x v="1"/>
  </r>
  <r>
    <n v="9"/>
    <x v="1"/>
    <x v="1"/>
    <x v="1"/>
    <x v="1"/>
    <n v="14"/>
    <n v="350"/>
    <n v="4900"/>
    <x v="1"/>
  </r>
  <r>
    <n v="10"/>
    <x v="2"/>
    <x v="1"/>
    <x v="1"/>
    <x v="1"/>
    <n v="11"/>
    <n v="350"/>
    <n v="3850"/>
    <x v="1"/>
  </r>
  <r>
    <n v="11"/>
    <x v="1"/>
    <x v="1"/>
    <x v="1"/>
    <x v="2"/>
    <n v="15"/>
    <n v="1800"/>
    <n v="27000"/>
    <x v="1"/>
  </r>
  <r>
    <n v="12"/>
    <x v="2"/>
    <x v="1"/>
    <x v="1"/>
    <x v="2"/>
    <n v="7"/>
    <n v="1800"/>
    <n v="12600"/>
    <x v="1"/>
  </r>
  <r>
    <n v="13"/>
    <x v="1"/>
    <x v="1"/>
    <x v="1"/>
    <x v="3"/>
    <n v="7"/>
    <n v="2300"/>
    <n v="16100"/>
    <x v="1"/>
  </r>
  <r>
    <n v="14"/>
    <x v="2"/>
    <x v="1"/>
    <x v="1"/>
    <x v="3"/>
    <n v="13"/>
    <n v="2300"/>
    <n v="29900"/>
    <x v="1"/>
  </r>
  <r>
    <n v="15"/>
    <x v="1"/>
    <x v="1"/>
    <x v="1"/>
    <x v="4"/>
    <n v="10"/>
    <n v="4000"/>
    <n v="40000"/>
    <x v="1"/>
  </r>
  <r>
    <n v="16"/>
    <x v="2"/>
    <x v="1"/>
    <x v="1"/>
    <x v="4"/>
    <n v="4"/>
    <n v="4000"/>
    <n v="16000"/>
    <x v="1"/>
  </r>
  <r>
    <n v="17"/>
    <x v="2"/>
    <x v="1"/>
    <x v="1"/>
    <x v="5"/>
    <n v="13"/>
    <n v="8000"/>
    <n v="104000"/>
    <x v="1"/>
  </r>
  <r>
    <n v="18"/>
    <x v="1"/>
    <x v="1"/>
    <x v="1"/>
    <x v="5"/>
    <n v="12"/>
    <n v="8000"/>
    <n v="96000"/>
    <x v="1"/>
  </r>
  <r>
    <n v="19"/>
    <x v="3"/>
    <x v="2"/>
    <x v="2"/>
    <x v="0"/>
    <n v="4"/>
    <n v="150"/>
    <n v="600"/>
    <x v="2"/>
  </r>
  <r>
    <n v="20"/>
    <x v="3"/>
    <x v="2"/>
    <x v="2"/>
    <x v="1"/>
    <n v="12"/>
    <n v="350"/>
    <n v="4200"/>
    <x v="2"/>
  </r>
  <r>
    <n v="21"/>
    <x v="3"/>
    <x v="2"/>
    <x v="2"/>
    <x v="2"/>
    <n v="5"/>
    <n v="1800"/>
    <n v="9000"/>
    <x v="2"/>
  </r>
  <r>
    <n v="22"/>
    <x v="3"/>
    <x v="2"/>
    <x v="2"/>
    <x v="3"/>
    <n v="10"/>
    <n v="2300"/>
    <n v="23000"/>
    <x v="2"/>
  </r>
  <r>
    <n v="23"/>
    <x v="3"/>
    <x v="2"/>
    <x v="2"/>
    <x v="4"/>
    <n v="10"/>
    <n v="4000"/>
    <n v="40000"/>
    <x v="2"/>
  </r>
  <r>
    <n v="24"/>
    <x v="3"/>
    <x v="2"/>
    <x v="2"/>
    <x v="5"/>
    <n v="10"/>
    <n v="8000"/>
    <n v="80000"/>
    <x v="2"/>
  </r>
  <r>
    <n v="25"/>
    <x v="4"/>
    <x v="0"/>
    <x v="3"/>
    <x v="0"/>
    <n v="11"/>
    <n v="150"/>
    <n v="1650"/>
    <x v="3"/>
  </r>
  <r>
    <n v="26"/>
    <x v="4"/>
    <x v="0"/>
    <x v="3"/>
    <x v="1"/>
    <n v="5"/>
    <n v="350"/>
    <n v="1750"/>
    <x v="3"/>
  </r>
  <r>
    <n v="27"/>
    <x v="4"/>
    <x v="0"/>
    <x v="3"/>
    <x v="2"/>
    <n v="14"/>
    <n v="1800"/>
    <n v="25200"/>
    <x v="3"/>
  </r>
  <r>
    <n v="28"/>
    <x v="4"/>
    <x v="0"/>
    <x v="3"/>
    <x v="3"/>
    <n v="6"/>
    <n v="2300"/>
    <n v="13800"/>
    <x v="3"/>
  </r>
  <r>
    <n v="29"/>
    <x v="4"/>
    <x v="0"/>
    <x v="3"/>
    <x v="4"/>
    <n v="14"/>
    <n v="4000"/>
    <n v="56000"/>
    <x v="3"/>
  </r>
  <r>
    <n v="30"/>
    <x v="4"/>
    <x v="0"/>
    <x v="3"/>
    <x v="5"/>
    <n v="14"/>
    <n v="8000"/>
    <n v="112000"/>
    <x v="3"/>
  </r>
  <r>
    <n v="31"/>
    <x v="5"/>
    <x v="2"/>
    <x v="4"/>
    <x v="0"/>
    <n v="9"/>
    <n v="150"/>
    <n v="1350"/>
    <x v="4"/>
  </r>
  <r>
    <n v="32"/>
    <x v="5"/>
    <x v="2"/>
    <x v="4"/>
    <x v="1"/>
    <n v="7"/>
    <n v="350"/>
    <n v="2450"/>
    <x v="4"/>
  </r>
  <r>
    <n v="33"/>
    <x v="5"/>
    <x v="2"/>
    <x v="4"/>
    <x v="2"/>
    <n v="7"/>
    <n v="1800"/>
    <n v="12600"/>
    <x v="4"/>
  </r>
  <r>
    <n v="34"/>
    <x v="5"/>
    <x v="2"/>
    <x v="4"/>
    <x v="3"/>
    <n v="16"/>
    <n v="2300"/>
    <n v="36800"/>
    <x v="4"/>
  </r>
  <r>
    <n v="35"/>
    <x v="5"/>
    <x v="2"/>
    <x v="4"/>
    <x v="4"/>
    <n v="5"/>
    <n v="4000"/>
    <n v="20000"/>
    <x v="4"/>
  </r>
  <r>
    <n v="36"/>
    <x v="5"/>
    <x v="2"/>
    <x v="4"/>
    <x v="5"/>
    <n v="6"/>
    <n v="8000"/>
    <n v="48000"/>
    <x v="4"/>
  </r>
  <r>
    <n v="37"/>
    <x v="0"/>
    <x v="0"/>
    <x v="5"/>
    <x v="0"/>
    <n v="12"/>
    <n v="150"/>
    <n v="1800"/>
    <x v="3"/>
  </r>
  <r>
    <n v="38"/>
    <x v="0"/>
    <x v="0"/>
    <x v="5"/>
    <x v="1"/>
    <n v="4"/>
    <n v="350"/>
    <n v="1400"/>
    <x v="3"/>
  </r>
  <r>
    <n v="39"/>
    <x v="0"/>
    <x v="0"/>
    <x v="5"/>
    <x v="2"/>
    <n v="10"/>
    <n v="1800"/>
    <n v="18000"/>
    <x v="3"/>
  </r>
  <r>
    <n v="40"/>
    <x v="0"/>
    <x v="0"/>
    <x v="5"/>
    <x v="3"/>
    <n v="11"/>
    <n v="2300"/>
    <n v="25300"/>
    <x v="3"/>
  </r>
  <r>
    <n v="41"/>
    <x v="0"/>
    <x v="0"/>
    <x v="5"/>
    <x v="4"/>
    <n v="12"/>
    <n v="4000"/>
    <n v="48000"/>
    <x v="3"/>
  </r>
  <r>
    <n v="42"/>
    <x v="0"/>
    <x v="0"/>
    <x v="5"/>
    <x v="5"/>
    <n v="11"/>
    <n v="8000"/>
    <n v="88000"/>
    <x v="3"/>
  </r>
  <r>
    <n v="43"/>
    <x v="1"/>
    <x v="1"/>
    <x v="6"/>
    <x v="0"/>
    <n v="8"/>
    <n v="150"/>
    <n v="1200"/>
    <x v="4"/>
  </r>
  <r>
    <n v="44"/>
    <x v="2"/>
    <x v="1"/>
    <x v="6"/>
    <x v="0"/>
    <n v="12"/>
    <n v="150"/>
    <n v="1800"/>
    <x v="4"/>
  </r>
  <r>
    <n v="45"/>
    <x v="1"/>
    <x v="1"/>
    <x v="6"/>
    <x v="1"/>
    <n v="4"/>
    <n v="350"/>
    <n v="1400"/>
    <x v="4"/>
  </r>
  <r>
    <n v="46"/>
    <x v="2"/>
    <x v="1"/>
    <x v="6"/>
    <x v="1"/>
    <n v="16"/>
    <n v="350"/>
    <n v="5600"/>
    <x v="4"/>
  </r>
  <r>
    <n v="47"/>
    <x v="1"/>
    <x v="1"/>
    <x v="6"/>
    <x v="2"/>
    <n v="8"/>
    <n v="1800"/>
    <n v="14400"/>
    <x v="4"/>
  </r>
  <r>
    <n v="48"/>
    <x v="2"/>
    <x v="1"/>
    <x v="6"/>
    <x v="2"/>
    <n v="4"/>
    <n v="1800"/>
    <n v="7200"/>
    <x v="4"/>
  </r>
  <r>
    <n v="49"/>
    <x v="1"/>
    <x v="1"/>
    <x v="6"/>
    <x v="3"/>
    <n v="6"/>
    <n v="2300"/>
    <n v="13800"/>
    <x v="4"/>
  </r>
  <r>
    <n v="50"/>
    <x v="2"/>
    <x v="1"/>
    <x v="6"/>
    <x v="3"/>
    <n v="10"/>
    <n v="2300"/>
    <n v="23000"/>
    <x v="4"/>
  </r>
  <r>
    <n v="51"/>
    <x v="1"/>
    <x v="1"/>
    <x v="6"/>
    <x v="4"/>
    <n v="13"/>
    <n v="4000"/>
    <n v="52000"/>
    <x v="4"/>
  </r>
  <r>
    <n v="52"/>
    <x v="2"/>
    <x v="1"/>
    <x v="6"/>
    <x v="4"/>
    <n v="4"/>
    <n v="4000"/>
    <n v="16000"/>
    <x v="4"/>
  </r>
  <r>
    <n v="53"/>
    <x v="2"/>
    <x v="1"/>
    <x v="6"/>
    <x v="5"/>
    <n v="5"/>
    <n v="8000"/>
    <n v="40000"/>
    <x v="4"/>
  </r>
  <r>
    <n v="54"/>
    <x v="1"/>
    <x v="1"/>
    <x v="6"/>
    <x v="5"/>
    <n v="6"/>
    <n v="8000"/>
    <n v="48000"/>
    <x v="4"/>
  </r>
  <r>
    <n v="55"/>
    <x v="3"/>
    <x v="2"/>
    <x v="7"/>
    <x v="0"/>
    <n v="11"/>
    <n v="150"/>
    <n v="1650"/>
    <x v="5"/>
  </r>
  <r>
    <n v="56"/>
    <x v="3"/>
    <x v="2"/>
    <x v="7"/>
    <x v="1"/>
    <n v="12"/>
    <n v="350"/>
    <n v="4200"/>
    <x v="5"/>
  </r>
  <r>
    <n v="57"/>
    <x v="3"/>
    <x v="2"/>
    <x v="7"/>
    <x v="2"/>
    <n v="15"/>
    <n v="1800"/>
    <n v="27000"/>
    <x v="5"/>
  </r>
  <r>
    <n v="58"/>
    <x v="3"/>
    <x v="2"/>
    <x v="7"/>
    <x v="3"/>
    <n v="5"/>
    <n v="2300"/>
    <n v="11500"/>
    <x v="5"/>
  </r>
  <r>
    <n v="59"/>
    <x v="3"/>
    <x v="2"/>
    <x v="7"/>
    <x v="4"/>
    <n v="5"/>
    <n v="4000"/>
    <n v="20000"/>
    <x v="5"/>
  </r>
  <r>
    <n v="60"/>
    <x v="3"/>
    <x v="2"/>
    <x v="7"/>
    <x v="5"/>
    <n v="5"/>
    <n v="8000"/>
    <n v="40000"/>
    <x v="5"/>
  </r>
  <r>
    <n v="61"/>
    <x v="4"/>
    <x v="0"/>
    <x v="8"/>
    <x v="0"/>
    <n v="5"/>
    <n v="150"/>
    <n v="750"/>
    <x v="6"/>
  </r>
  <r>
    <n v="62"/>
    <x v="4"/>
    <x v="0"/>
    <x v="8"/>
    <x v="1"/>
    <n v="14"/>
    <n v="350"/>
    <n v="4900"/>
    <x v="6"/>
  </r>
  <r>
    <n v="63"/>
    <x v="4"/>
    <x v="0"/>
    <x v="8"/>
    <x v="2"/>
    <n v="15"/>
    <n v="1800"/>
    <n v="27000"/>
    <x v="6"/>
  </r>
  <r>
    <n v="64"/>
    <x v="4"/>
    <x v="0"/>
    <x v="8"/>
    <x v="3"/>
    <n v="4"/>
    <n v="2300"/>
    <n v="9200"/>
    <x v="6"/>
  </r>
  <r>
    <n v="65"/>
    <x v="4"/>
    <x v="0"/>
    <x v="8"/>
    <x v="4"/>
    <n v="7"/>
    <n v="4000"/>
    <n v="28000"/>
    <x v="6"/>
  </r>
  <r>
    <n v="66"/>
    <x v="4"/>
    <x v="0"/>
    <x v="8"/>
    <x v="5"/>
    <n v="16"/>
    <n v="8000"/>
    <n v="128000"/>
    <x v="6"/>
  </r>
  <r>
    <n v="67"/>
    <x v="5"/>
    <x v="2"/>
    <x v="9"/>
    <x v="0"/>
    <n v="10"/>
    <n v="150"/>
    <n v="1500"/>
    <x v="0"/>
  </r>
  <r>
    <n v="68"/>
    <x v="5"/>
    <x v="2"/>
    <x v="9"/>
    <x v="1"/>
    <n v="10"/>
    <n v="350"/>
    <n v="3500"/>
    <x v="0"/>
  </r>
  <r>
    <n v="69"/>
    <x v="5"/>
    <x v="2"/>
    <x v="9"/>
    <x v="2"/>
    <n v="12"/>
    <n v="1800"/>
    <n v="21600"/>
    <x v="0"/>
  </r>
  <r>
    <n v="70"/>
    <x v="5"/>
    <x v="2"/>
    <x v="9"/>
    <x v="3"/>
    <n v="8"/>
    <n v="2300"/>
    <n v="18400"/>
    <x v="0"/>
  </r>
  <r>
    <n v="71"/>
    <x v="5"/>
    <x v="2"/>
    <x v="9"/>
    <x v="4"/>
    <n v="11"/>
    <n v="4000"/>
    <n v="44000"/>
    <x v="0"/>
  </r>
  <r>
    <n v="72"/>
    <x v="5"/>
    <x v="2"/>
    <x v="9"/>
    <x v="5"/>
    <n v="16"/>
    <n v="8000"/>
    <n v="128000"/>
    <x v="0"/>
  </r>
  <r>
    <n v="73"/>
    <x v="0"/>
    <x v="0"/>
    <x v="10"/>
    <x v="0"/>
    <n v="5"/>
    <n v="150"/>
    <n v="750"/>
    <x v="3"/>
  </r>
  <r>
    <n v="74"/>
    <x v="0"/>
    <x v="0"/>
    <x v="10"/>
    <x v="1"/>
    <n v="12"/>
    <n v="350"/>
    <n v="4200"/>
    <x v="3"/>
  </r>
  <r>
    <n v="75"/>
    <x v="0"/>
    <x v="0"/>
    <x v="10"/>
    <x v="2"/>
    <n v="14"/>
    <n v="1800"/>
    <n v="25200"/>
    <x v="3"/>
  </r>
  <r>
    <n v="76"/>
    <x v="0"/>
    <x v="0"/>
    <x v="10"/>
    <x v="3"/>
    <n v="8"/>
    <n v="2300"/>
    <n v="18400"/>
    <x v="3"/>
  </r>
  <r>
    <n v="77"/>
    <x v="0"/>
    <x v="0"/>
    <x v="10"/>
    <x v="4"/>
    <n v="16"/>
    <n v="4000"/>
    <n v="64000"/>
    <x v="3"/>
  </r>
  <r>
    <n v="78"/>
    <x v="0"/>
    <x v="0"/>
    <x v="10"/>
    <x v="5"/>
    <n v="15"/>
    <n v="8000"/>
    <n v="120000"/>
    <x v="3"/>
  </r>
  <r>
    <n v="79"/>
    <x v="1"/>
    <x v="1"/>
    <x v="11"/>
    <x v="0"/>
    <n v="4"/>
    <n v="150"/>
    <n v="600"/>
    <x v="4"/>
  </r>
  <r>
    <n v="80"/>
    <x v="2"/>
    <x v="1"/>
    <x v="11"/>
    <x v="0"/>
    <n v="4"/>
    <n v="150"/>
    <n v="600"/>
    <x v="4"/>
  </r>
  <r>
    <n v="81"/>
    <x v="1"/>
    <x v="1"/>
    <x v="11"/>
    <x v="1"/>
    <n v="12"/>
    <n v="350"/>
    <n v="4200"/>
    <x v="4"/>
  </r>
  <r>
    <n v="82"/>
    <x v="2"/>
    <x v="1"/>
    <x v="11"/>
    <x v="1"/>
    <n v="4"/>
    <n v="350"/>
    <n v="1400"/>
    <x v="4"/>
  </r>
  <r>
    <n v="83"/>
    <x v="1"/>
    <x v="1"/>
    <x v="11"/>
    <x v="2"/>
    <n v="5"/>
    <n v="1800"/>
    <n v="9000"/>
    <x v="4"/>
  </r>
  <r>
    <n v="84"/>
    <x v="2"/>
    <x v="1"/>
    <x v="11"/>
    <x v="2"/>
    <n v="5"/>
    <n v="1800"/>
    <n v="9000"/>
    <x v="4"/>
  </r>
  <r>
    <n v="85"/>
    <x v="1"/>
    <x v="1"/>
    <x v="11"/>
    <x v="3"/>
    <n v="15"/>
    <n v="2300"/>
    <n v="34500"/>
    <x v="4"/>
  </r>
  <r>
    <n v="86"/>
    <x v="2"/>
    <x v="1"/>
    <x v="11"/>
    <x v="3"/>
    <n v="11"/>
    <n v="2300"/>
    <n v="25300"/>
    <x v="4"/>
  </r>
  <r>
    <n v="87"/>
    <x v="1"/>
    <x v="1"/>
    <x v="11"/>
    <x v="4"/>
    <n v="8"/>
    <n v="4000"/>
    <n v="32000"/>
    <x v="4"/>
  </r>
  <r>
    <n v="88"/>
    <x v="2"/>
    <x v="1"/>
    <x v="11"/>
    <x v="4"/>
    <n v="15"/>
    <n v="4000"/>
    <n v="60000"/>
    <x v="4"/>
  </r>
  <r>
    <n v="89"/>
    <x v="2"/>
    <x v="1"/>
    <x v="11"/>
    <x v="5"/>
    <n v="6"/>
    <n v="8000"/>
    <n v="48000"/>
    <x v="4"/>
  </r>
  <r>
    <n v="90"/>
    <x v="1"/>
    <x v="1"/>
    <x v="11"/>
    <x v="5"/>
    <n v="8"/>
    <n v="8000"/>
    <n v="64000"/>
    <x v="4"/>
  </r>
  <r>
    <n v="91"/>
    <x v="3"/>
    <x v="2"/>
    <x v="12"/>
    <x v="0"/>
    <n v="5"/>
    <n v="150"/>
    <n v="750"/>
    <x v="5"/>
  </r>
  <r>
    <n v="92"/>
    <x v="3"/>
    <x v="2"/>
    <x v="12"/>
    <x v="1"/>
    <n v="6"/>
    <n v="350"/>
    <n v="2100"/>
    <x v="5"/>
  </r>
  <r>
    <n v="93"/>
    <x v="3"/>
    <x v="2"/>
    <x v="12"/>
    <x v="2"/>
    <n v="12"/>
    <n v="1800"/>
    <n v="21600"/>
    <x v="5"/>
  </r>
  <r>
    <n v="94"/>
    <x v="3"/>
    <x v="2"/>
    <x v="12"/>
    <x v="3"/>
    <n v="6"/>
    <n v="2300"/>
    <n v="13800"/>
    <x v="5"/>
  </r>
  <r>
    <n v="95"/>
    <x v="3"/>
    <x v="2"/>
    <x v="12"/>
    <x v="4"/>
    <n v="8"/>
    <n v="4000"/>
    <n v="32000"/>
    <x v="5"/>
  </r>
  <r>
    <n v="96"/>
    <x v="3"/>
    <x v="2"/>
    <x v="12"/>
    <x v="5"/>
    <n v="15"/>
    <n v="8000"/>
    <n v="120000"/>
    <x v="5"/>
  </r>
  <r>
    <n v="97"/>
    <x v="4"/>
    <x v="0"/>
    <x v="13"/>
    <x v="0"/>
    <n v="10"/>
    <n v="150"/>
    <n v="1500"/>
    <x v="6"/>
  </r>
  <r>
    <n v="98"/>
    <x v="4"/>
    <x v="0"/>
    <x v="13"/>
    <x v="1"/>
    <n v="9"/>
    <n v="350"/>
    <n v="3150"/>
    <x v="6"/>
  </r>
  <r>
    <n v="99"/>
    <x v="4"/>
    <x v="0"/>
    <x v="13"/>
    <x v="2"/>
    <n v="9"/>
    <n v="1800"/>
    <n v="16200"/>
    <x v="6"/>
  </r>
  <r>
    <n v="100"/>
    <x v="4"/>
    <x v="0"/>
    <x v="13"/>
    <x v="3"/>
    <n v="16"/>
    <n v="2300"/>
    <n v="36800"/>
    <x v="6"/>
  </r>
  <r>
    <n v="101"/>
    <x v="4"/>
    <x v="0"/>
    <x v="13"/>
    <x v="4"/>
    <n v="11"/>
    <n v="4000"/>
    <n v="44000"/>
    <x v="6"/>
  </r>
  <r>
    <n v="102"/>
    <x v="4"/>
    <x v="0"/>
    <x v="13"/>
    <x v="5"/>
    <n v="8"/>
    <n v="8000"/>
    <n v="64000"/>
    <x v="6"/>
  </r>
  <r>
    <n v="103"/>
    <x v="5"/>
    <x v="2"/>
    <x v="14"/>
    <x v="0"/>
    <n v="11"/>
    <n v="150"/>
    <n v="1650"/>
    <x v="0"/>
  </r>
  <r>
    <n v="104"/>
    <x v="5"/>
    <x v="2"/>
    <x v="14"/>
    <x v="1"/>
    <n v="4"/>
    <n v="350"/>
    <n v="1400"/>
    <x v="0"/>
  </r>
  <r>
    <n v="105"/>
    <x v="5"/>
    <x v="2"/>
    <x v="14"/>
    <x v="2"/>
    <n v="15"/>
    <n v="1800"/>
    <n v="27000"/>
    <x v="0"/>
  </r>
  <r>
    <n v="106"/>
    <x v="5"/>
    <x v="2"/>
    <x v="14"/>
    <x v="3"/>
    <n v="11"/>
    <n v="2300"/>
    <n v="25300"/>
    <x v="0"/>
  </r>
  <r>
    <n v="107"/>
    <x v="5"/>
    <x v="2"/>
    <x v="14"/>
    <x v="4"/>
    <n v="14"/>
    <n v="4000"/>
    <n v="56000"/>
    <x v="0"/>
  </r>
  <r>
    <n v="108"/>
    <x v="5"/>
    <x v="2"/>
    <x v="14"/>
    <x v="5"/>
    <n v="15"/>
    <n v="8000"/>
    <n v="120000"/>
    <x v="0"/>
  </r>
  <r>
    <n v="109"/>
    <x v="0"/>
    <x v="0"/>
    <x v="15"/>
    <x v="0"/>
    <n v="4"/>
    <n v="150"/>
    <n v="600"/>
    <x v="6"/>
  </r>
  <r>
    <n v="110"/>
    <x v="0"/>
    <x v="0"/>
    <x v="15"/>
    <x v="1"/>
    <n v="7"/>
    <n v="350"/>
    <n v="2450"/>
    <x v="6"/>
  </r>
  <r>
    <n v="111"/>
    <x v="0"/>
    <x v="0"/>
    <x v="15"/>
    <x v="2"/>
    <n v="12"/>
    <n v="1800"/>
    <n v="21600"/>
    <x v="6"/>
  </r>
  <r>
    <n v="112"/>
    <x v="0"/>
    <x v="0"/>
    <x v="15"/>
    <x v="3"/>
    <n v="15"/>
    <n v="2300"/>
    <n v="34500"/>
    <x v="6"/>
  </r>
  <r>
    <n v="113"/>
    <x v="0"/>
    <x v="0"/>
    <x v="15"/>
    <x v="4"/>
    <n v="12"/>
    <n v="4000"/>
    <n v="48000"/>
    <x v="6"/>
  </r>
  <r>
    <n v="114"/>
    <x v="0"/>
    <x v="0"/>
    <x v="15"/>
    <x v="5"/>
    <n v="10"/>
    <n v="8000"/>
    <n v="80000"/>
    <x v="6"/>
  </r>
  <r>
    <n v="115"/>
    <x v="1"/>
    <x v="1"/>
    <x v="16"/>
    <x v="0"/>
    <n v="14"/>
    <n v="150"/>
    <n v="2100"/>
    <x v="0"/>
  </r>
  <r>
    <n v="116"/>
    <x v="2"/>
    <x v="1"/>
    <x v="16"/>
    <x v="0"/>
    <n v="11"/>
    <n v="150"/>
    <n v="1650"/>
    <x v="0"/>
  </r>
  <r>
    <n v="117"/>
    <x v="1"/>
    <x v="1"/>
    <x v="16"/>
    <x v="1"/>
    <n v="9"/>
    <n v="350"/>
    <n v="3150"/>
    <x v="0"/>
  </r>
  <r>
    <n v="118"/>
    <x v="2"/>
    <x v="1"/>
    <x v="16"/>
    <x v="1"/>
    <n v="4"/>
    <n v="350"/>
    <n v="1400"/>
    <x v="0"/>
  </r>
  <r>
    <n v="119"/>
    <x v="1"/>
    <x v="1"/>
    <x v="16"/>
    <x v="2"/>
    <n v="15"/>
    <n v="1800"/>
    <n v="27000"/>
    <x v="0"/>
  </r>
  <r>
    <n v="120"/>
    <x v="2"/>
    <x v="1"/>
    <x v="16"/>
    <x v="2"/>
    <n v="16"/>
    <n v="1800"/>
    <n v="28800"/>
    <x v="0"/>
  </r>
  <r>
    <n v="121"/>
    <x v="1"/>
    <x v="1"/>
    <x v="16"/>
    <x v="3"/>
    <n v="14"/>
    <n v="2300"/>
    <n v="32200"/>
    <x v="0"/>
  </r>
  <r>
    <n v="122"/>
    <x v="2"/>
    <x v="1"/>
    <x v="16"/>
    <x v="3"/>
    <n v="14"/>
    <n v="2300"/>
    <n v="32200"/>
    <x v="0"/>
  </r>
  <r>
    <n v="123"/>
    <x v="1"/>
    <x v="1"/>
    <x v="16"/>
    <x v="4"/>
    <n v="9"/>
    <n v="4000"/>
    <n v="36000"/>
    <x v="0"/>
  </r>
  <r>
    <n v="124"/>
    <x v="2"/>
    <x v="1"/>
    <x v="16"/>
    <x v="4"/>
    <n v="5"/>
    <n v="4000"/>
    <n v="20000"/>
    <x v="0"/>
  </r>
  <r>
    <n v="125"/>
    <x v="2"/>
    <x v="1"/>
    <x v="16"/>
    <x v="5"/>
    <n v="15"/>
    <n v="8000"/>
    <n v="120000"/>
    <x v="0"/>
  </r>
  <r>
    <n v="126"/>
    <x v="1"/>
    <x v="1"/>
    <x v="16"/>
    <x v="5"/>
    <n v="4"/>
    <n v="8000"/>
    <n v="32000"/>
    <x v="0"/>
  </r>
  <r>
    <n v="127"/>
    <x v="3"/>
    <x v="2"/>
    <x v="17"/>
    <x v="0"/>
    <n v="9"/>
    <n v="150"/>
    <n v="1350"/>
    <x v="1"/>
  </r>
  <r>
    <n v="128"/>
    <x v="3"/>
    <x v="2"/>
    <x v="17"/>
    <x v="1"/>
    <n v="8"/>
    <n v="350"/>
    <n v="2800"/>
    <x v="1"/>
  </r>
  <r>
    <n v="129"/>
    <x v="3"/>
    <x v="2"/>
    <x v="17"/>
    <x v="2"/>
    <n v="6"/>
    <n v="1800"/>
    <n v="10800"/>
    <x v="1"/>
  </r>
  <r>
    <n v="130"/>
    <x v="3"/>
    <x v="2"/>
    <x v="17"/>
    <x v="3"/>
    <n v="12"/>
    <n v="2300"/>
    <n v="27600"/>
    <x v="1"/>
  </r>
  <r>
    <n v="131"/>
    <x v="3"/>
    <x v="2"/>
    <x v="17"/>
    <x v="4"/>
    <n v="9"/>
    <n v="4000"/>
    <n v="36000"/>
    <x v="1"/>
  </r>
  <r>
    <n v="132"/>
    <x v="3"/>
    <x v="2"/>
    <x v="17"/>
    <x v="5"/>
    <n v="7"/>
    <n v="8000"/>
    <n v="56000"/>
    <x v="1"/>
  </r>
  <r>
    <n v="133"/>
    <x v="4"/>
    <x v="0"/>
    <x v="18"/>
    <x v="0"/>
    <n v="15"/>
    <n v="150"/>
    <n v="2250"/>
    <x v="2"/>
  </r>
  <r>
    <n v="134"/>
    <x v="4"/>
    <x v="0"/>
    <x v="18"/>
    <x v="1"/>
    <n v="13"/>
    <n v="350"/>
    <n v="4550"/>
    <x v="2"/>
  </r>
  <r>
    <n v="135"/>
    <x v="4"/>
    <x v="0"/>
    <x v="18"/>
    <x v="2"/>
    <n v="10"/>
    <n v="1800"/>
    <n v="18000"/>
    <x v="2"/>
  </r>
  <r>
    <n v="136"/>
    <x v="4"/>
    <x v="0"/>
    <x v="18"/>
    <x v="3"/>
    <n v="15"/>
    <n v="2300"/>
    <n v="34500"/>
    <x v="2"/>
  </r>
  <r>
    <n v="137"/>
    <x v="4"/>
    <x v="0"/>
    <x v="18"/>
    <x v="4"/>
    <n v="16"/>
    <n v="4000"/>
    <n v="64000"/>
    <x v="2"/>
  </r>
  <r>
    <n v="138"/>
    <x v="4"/>
    <x v="0"/>
    <x v="18"/>
    <x v="5"/>
    <n v="9"/>
    <n v="8000"/>
    <n v="72000"/>
    <x v="2"/>
  </r>
  <r>
    <n v="139"/>
    <x v="5"/>
    <x v="2"/>
    <x v="19"/>
    <x v="0"/>
    <n v="13"/>
    <n v="150"/>
    <n v="1950"/>
    <x v="3"/>
  </r>
  <r>
    <n v="140"/>
    <x v="5"/>
    <x v="2"/>
    <x v="19"/>
    <x v="1"/>
    <n v="11"/>
    <n v="350"/>
    <n v="3850"/>
    <x v="3"/>
  </r>
  <r>
    <n v="141"/>
    <x v="5"/>
    <x v="2"/>
    <x v="19"/>
    <x v="2"/>
    <n v="13"/>
    <n v="1800"/>
    <n v="23400"/>
    <x v="3"/>
  </r>
  <r>
    <n v="142"/>
    <x v="5"/>
    <x v="2"/>
    <x v="19"/>
    <x v="3"/>
    <n v="14"/>
    <n v="2300"/>
    <n v="32200"/>
    <x v="3"/>
  </r>
  <r>
    <n v="143"/>
    <x v="5"/>
    <x v="2"/>
    <x v="19"/>
    <x v="4"/>
    <n v="13"/>
    <n v="4000"/>
    <n v="52000"/>
    <x v="3"/>
  </r>
  <r>
    <n v="144"/>
    <x v="5"/>
    <x v="2"/>
    <x v="19"/>
    <x v="5"/>
    <n v="9"/>
    <n v="8000"/>
    <n v="720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D75639-20A4-4D3F-8D51-BD0B5EE3CF8F}" name="PivotTable11"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E22:E23" firstHeaderRow="1" firstDataRow="1" firstDataCol="0"/>
  <pivotFields count="11">
    <pivotField showAll="0"/>
    <pivotField showAll="0">
      <items count="7">
        <item h="1" x="5"/>
        <item h="1" x="1"/>
        <item x="4"/>
        <item h="1" x="3"/>
        <item h="1" x="2"/>
        <item h="1" x="0"/>
        <item t="default"/>
      </items>
    </pivotField>
    <pivotField showAll="0">
      <items count="4">
        <item x="1"/>
        <item h="1" x="2"/>
        <item h="1"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showAll="0" includeNewItemsInFilter="1"/>
    <pivotField showAll="0"/>
    <pivotField dataField="1" showAll="0"/>
    <pivotField showAll="0">
      <items count="8">
        <item x="5"/>
        <item x="6"/>
        <item x="0"/>
        <item x="1"/>
        <item x="2"/>
        <item x="3"/>
        <item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Total" fld="7" subtotal="average" baseField="0" baseItem="0"/>
  </dataFields>
  <chartFormats count="5">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F04958-3921-4CE7-83BB-C5B6BDE42DF4}" name="PivotTable10" cacheId="18"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1">
  <location ref="H2:I2" firstHeaderRow="1" firstDataRow="1" firstDataCol="1"/>
  <pivotFields count="11">
    <pivotField showAll="0"/>
    <pivotField showAll="0">
      <items count="7">
        <item h="1" x="5"/>
        <item h="1" x="1"/>
        <item x="4"/>
        <item h="1" x="3"/>
        <item h="1" x="2"/>
        <item h="1" x="0"/>
        <item t="default"/>
      </items>
    </pivotField>
    <pivotField showAll="0">
      <items count="4">
        <item x="1"/>
        <item h="1" x="2"/>
        <item h="1"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dataField="1" showAll="0" includeNewItemsInFilter="1" maxSubtotal="1"/>
    <pivotField showAll="0"/>
    <pivotField showAll="0"/>
    <pivotField showAll="0" sortType="ascending">
      <items count="8">
        <item x="5"/>
        <item x="6"/>
        <item x="0"/>
        <item x="1"/>
        <item x="2"/>
        <item x="3"/>
        <item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colItems count="1">
    <i/>
  </colItems>
  <dataFields count="1">
    <dataField name="Sum of Q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7A8FD3-61E9-474C-80FD-E54ECD7A1A1B}" name="PivotTable8" cacheId="18"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4">
  <location ref="G28:H28" firstHeaderRow="1" firstDataRow="1" firstDataCol="1"/>
  <pivotFields count="11">
    <pivotField showAll="0"/>
    <pivotField axis="axisRow" showAll="0" sortType="descending">
      <items count="7">
        <item h="1" x="5"/>
        <item h="1" x="1"/>
        <item x="4"/>
        <item h="1" x="3"/>
        <item h="1" x="2"/>
        <item h="1" x="0"/>
        <item t="default"/>
      </items>
      <autoSortScope>
        <pivotArea dataOnly="0" outline="0" fieldPosition="0">
          <references count="1">
            <reference field="4294967294" count="1" selected="0">
              <x v="0"/>
            </reference>
          </references>
        </pivotArea>
      </autoSortScope>
    </pivotField>
    <pivotField showAll="0">
      <items count="4">
        <item x="1"/>
        <item h="1" x="2"/>
        <item h="1"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showAll="0" includeNewItemsInFilter="1" maxSubtotal="1"/>
    <pivotField showAll="0"/>
    <pivotField dataField="1" showAll="0"/>
    <pivotField showAll="0">
      <items count="8">
        <item x="5"/>
        <item x="6"/>
        <item x="0"/>
        <item x="1"/>
        <item x="2"/>
        <item x="3"/>
        <item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colItems count="1">
    <i/>
  </colItems>
  <dataFields count="1">
    <dataField name="Sum of Total" fld="7" baseField="0" baseItem="0"/>
  </dataFields>
  <chartFormats count="6">
    <chartFormat chart="29" format="3" series="1">
      <pivotArea type="data" outline="0" fieldPosition="0">
        <references count="1">
          <reference field="4294967294" count="1" selected="0">
            <x v="0"/>
          </reference>
        </references>
      </pivotArea>
    </chartFormat>
    <chartFormat chart="29" format="4">
      <pivotArea type="data" outline="0" fieldPosition="0">
        <references count="2">
          <reference field="4294967294" count="1" selected="0">
            <x v="0"/>
          </reference>
          <reference field="1" count="1" selected="0">
            <x v="3"/>
          </reference>
        </references>
      </pivotArea>
    </chartFormat>
    <chartFormat chart="29" format="5">
      <pivotArea type="data" outline="0" fieldPosition="0">
        <references count="2">
          <reference field="4294967294" count="1" selected="0">
            <x v="0"/>
          </reference>
          <reference field="1" count="1" selected="0">
            <x v="1"/>
          </reference>
        </references>
      </pivotArea>
    </chartFormat>
    <chartFormat chart="29" format="6">
      <pivotArea type="data" outline="0" fieldPosition="0">
        <references count="2">
          <reference field="4294967294" count="1" selected="0">
            <x v="0"/>
          </reference>
          <reference field="1" count="1" selected="0">
            <x v="4"/>
          </reference>
        </references>
      </pivotArea>
    </chartFormat>
    <chartFormat chart="29" format="7">
      <pivotArea type="data" outline="0" fieldPosition="0">
        <references count="2">
          <reference field="4294967294" count="1" selected="0">
            <x v="0"/>
          </reference>
          <reference field="1" count="1" selected="0">
            <x v="2"/>
          </reference>
        </references>
      </pivotArea>
    </chartFormat>
    <chartFormat chart="29" format="8">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EF9929-CDA3-402E-8839-22F0D69FFC19}" name="PivotTable7" cacheId="18"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26">
  <location ref="A26:B26" firstHeaderRow="1" firstDataRow="1" firstDataCol="1"/>
  <pivotFields count="11">
    <pivotField showAll="0"/>
    <pivotField showAll="0">
      <items count="7">
        <item h="1" x="5"/>
        <item h="1" x="1"/>
        <item x="4"/>
        <item h="1" x="3"/>
        <item h="1" x="2"/>
        <item h="1" x="0"/>
        <item t="default"/>
      </items>
    </pivotField>
    <pivotField showAll="0">
      <items count="4">
        <item x="1"/>
        <item h="1" x="2"/>
        <item h="1"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dataField="1" showAll="0" includeNewItemsInFilter="1" maxSubtotal="1"/>
    <pivotField showAll="0"/>
    <pivotField showAll="0"/>
    <pivotField showAll="0">
      <items count="8">
        <item x="5"/>
        <item x="6"/>
        <item x="0"/>
        <item x="1"/>
        <item x="2"/>
        <item x="3"/>
        <item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colItems count="1">
    <i/>
  </colItems>
  <dataFields count="1">
    <dataField name="Sum of Qty" fld="5"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79CC54-1EF3-4F3F-AB8C-D2A4828B5EAA}" name="PivotTable5"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E17:E18" firstHeaderRow="1" firstDataRow="1" firstDataCol="0"/>
  <pivotFields count="11">
    <pivotField showAll="0"/>
    <pivotField showAll="0">
      <items count="7">
        <item h="1" x="5"/>
        <item h="1" x="1"/>
        <item x="4"/>
        <item h="1" x="3"/>
        <item h="1" x="2"/>
        <item h="1" x="0"/>
        <item t="default"/>
      </items>
    </pivotField>
    <pivotField showAll="0">
      <items count="4">
        <item x="1"/>
        <item h="1" x="2"/>
        <item h="1"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dataField="1" showAll="0" includeNewItemsInFilter="1"/>
    <pivotField showAll="0"/>
    <pivotField showAll="0"/>
    <pivotField showAll="0">
      <items count="8">
        <item x="5"/>
        <item x="6"/>
        <item x="0"/>
        <item x="1"/>
        <item x="2"/>
        <item x="3"/>
        <item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Q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0C6BD5-0E3A-4085-BA5B-12280F8CE1E9}" name="PivotTable1"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22:A23" firstHeaderRow="1" firstDataRow="1" firstDataCol="0"/>
  <pivotFields count="11">
    <pivotField showAll="0"/>
    <pivotField showAll="0">
      <items count="7">
        <item h="1" x="5"/>
        <item h="1" x="1"/>
        <item x="4"/>
        <item h="1" x="3"/>
        <item h="1" x="2"/>
        <item h="1" x="0"/>
        <item t="default"/>
      </items>
    </pivotField>
    <pivotField showAll="0">
      <items count="4">
        <item x="1"/>
        <item h="1" x="2"/>
        <item h="1"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showAll="0" includeNewItemsInFilter="1"/>
    <pivotField showAll="0"/>
    <pivotField dataField="1" showAll="0"/>
    <pivotField showAll="0">
      <items count="8">
        <item x="5"/>
        <item x="6"/>
        <item x="0"/>
        <item x="1"/>
        <item x="2"/>
        <item x="3"/>
        <item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Total" fld="7" baseField="0" baseItem="0"/>
  </dataFields>
  <chartFormats count="5">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B7E2A5-50D7-475B-AA49-F6183CC79320}" name="PivotTable3"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A12:B13" firstHeaderRow="1" firstDataRow="1" firstDataCol="1"/>
  <pivotFields count="11">
    <pivotField showAll="0"/>
    <pivotField showAll="0">
      <items count="7">
        <item h="1" x="5"/>
        <item h="1" x="1"/>
        <item x="4"/>
        <item h="1" x="3"/>
        <item h="1" x="2"/>
        <item h="1" x="0"/>
        <item t="default"/>
      </items>
    </pivotField>
    <pivotField axis="axisRow" showAll="0">
      <items count="4">
        <item x="1"/>
        <item h="1" x="2"/>
        <item h="1"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showAll="0" includeNewItemsInFilter="1"/>
    <pivotField showAll="0"/>
    <pivotField dataField="1" showAll="0"/>
    <pivotField showAll="0">
      <items count="8">
        <item x="5"/>
        <item x="6"/>
        <item x="0"/>
        <item x="1"/>
        <item x="2"/>
        <item x="3"/>
        <item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
    <i t="grand">
      <x/>
    </i>
  </rowItems>
  <colItems count="1">
    <i/>
  </colItems>
  <dataFields count="1">
    <dataField name="Sum of Total" fld="7" baseField="0" baseItem="0"/>
  </dataFields>
  <chartFormats count="6">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FBB5C6-EE7E-4CDB-80E0-85171C700D70}" name="PivotTable2"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B4" firstHeaderRow="1" firstDataRow="1" firstDataCol="1"/>
  <pivotFields count="11">
    <pivotField showAll="0"/>
    <pivotField showAll="0">
      <items count="7">
        <item h="1" x="5"/>
        <item h="1" x="1"/>
        <item x="4"/>
        <item h="1" x="3"/>
        <item h="1" x="2"/>
        <item h="1" x="0"/>
        <item t="default"/>
      </items>
    </pivotField>
    <pivotField showAll="0">
      <items count="4">
        <item x="1"/>
        <item h="1" x="2"/>
        <item h="1"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showAll="0" includeNewItemsInFilter="1"/>
    <pivotField showAll="0"/>
    <pivotField dataField="1" showAll="0"/>
    <pivotField showAll="0">
      <items count="8">
        <item x="5"/>
        <item x="6"/>
        <item x="0"/>
        <item x="1"/>
        <item x="2"/>
        <item x="3"/>
        <item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
    <i t="grand">
      <x/>
    </i>
  </rowItems>
  <colItems count="1">
    <i/>
  </colItems>
  <dataFields count="1">
    <dataField name="Sum of Total" fld="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279D20-B567-440D-8D70-3830BFBA78AC}" name="PivotTable4"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E3:F4" firstHeaderRow="1" firstDataRow="1" firstDataCol="1"/>
  <pivotFields count="11">
    <pivotField showAll="0"/>
    <pivotField showAll="0">
      <items count="7">
        <item h="1" x="5"/>
        <item h="1" x="1"/>
        <item x="4"/>
        <item h="1" x="3"/>
        <item h="1" x="2"/>
        <item h="1" x="0"/>
        <item t="default"/>
      </items>
    </pivotField>
    <pivotField showAll="0">
      <items count="4">
        <item x="1"/>
        <item h="1" x="2"/>
        <item h="1"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7">
        <item x="1"/>
        <item x="5"/>
        <item x="4"/>
        <item x="0"/>
        <item x="2"/>
        <item x="3"/>
        <item t="default"/>
      </items>
    </pivotField>
    <pivotField dataField="1" showAll="0" includeNewItemsInFilter="1"/>
    <pivotField showAll="0"/>
    <pivotField showAll="0"/>
    <pivotField showAll="0">
      <items count="8">
        <item x="5"/>
        <item x="6"/>
        <item x="0"/>
        <item x="1"/>
        <item x="2"/>
        <item x="3"/>
        <item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
    <i t="grand">
      <x/>
    </i>
  </rowItems>
  <colItems count="1">
    <i/>
  </colItems>
  <dataFields count="1">
    <dataField name="Sum of Qty" fld="5" baseField="0" baseItem="0"/>
  </dataFields>
  <chartFormats count="7">
    <chartFormat chart="28" format="8" series="1">
      <pivotArea type="data" outline="0" fieldPosition="0">
        <references count="1">
          <reference field="4294967294" count="1" selected="0">
            <x v="0"/>
          </reference>
        </references>
      </pivotArea>
    </chartFormat>
    <chartFormat chart="28" format="9">
      <pivotArea type="data" outline="0" fieldPosition="0">
        <references count="2">
          <reference field="4294967294" count="1" selected="0">
            <x v="0"/>
          </reference>
          <reference field="4" count="1" selected="0">
            <x v="0"/>
          </reference>
        </references>
      </pivotArea>
    </chartFormat>
    <chartFormat chart="28" format="10">
      <pivotArea type="data" outline="0" fieldPosition="0">
        <references count="2">
          <reference field="4294967294" count="1" selected="0">
            <x v="0"/>
          </reference>
          <reference field="4" count="1" selected="0">
            <x v="1"/>
          </reference>
        </references>
      </pivotArea>
    </chartFormat>
    <chartFormat chart="28" format="11">
      <pivotArea type="data" outline="0" fieldPosition="0">
        <references count="2">
          <reference field="4294967294" count="1" selected="0">
            <x v="0"/>
          </reference>
          <reference field="4" count="1" selected="0">
            <x v="2"/>
          </reference>
        </references>
      </pivotArea>
    </chartFormat>
    <chartFormat chart="28" format="12">
      <pivotArea type="data" outline="0" fieldPosition="0">
        <references count="2">
          <reference field="4294967294" count="1" selected="0">
            <x v="0"/>
          </reference>
          <reference field="4" count="1" selected="0">
            <x v="3"/>
          </reference>
        </references>
      </pivotArea>
    </chartFormat>
    <chartFormat chart="28" format="13">
      <pivotArea type="data" outline="0" fieldPosition="0">
        <references count="2">
          <reference field="4294967294" count="1" selected="0">
            <x v="0"/>
          </reference>
          <reference field="4" count="1" selected="0">
            <x v="4"/>
          </reference>
        </references>
      </pivotArea>
    </chartFormat>
    <chartFormat chart="28"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ABCF881-6D34-4E7D-86B5-B60CDBEB0AD5}" sourceName="City">
  <pivotTables>
    <pivotTable tabId="6" name="PivotTable2"/>
    <pivotTable tabId="6" name="PivotTable3"/>
    <pivotTable tabId="6" name="PivotTable4"/>
    <pivotTable tabId="6" name="PivotTable1"/>
    <pivotTable tabId="6" name="PivotTable5"/>
    <pivotTable tabId="6" name="PivotTable7"/>
    <pivotTable tabId="6" name="PivotTable8"/>
    <pivotTable tabId="6" name="PivotTable10"/>
    <pivotTable tabId="6" name="PivotTable11"/>
  </pivotTables>
  <data>
    <tabular pivotCacheId="1401194949">
      <items count="3">
        <i x="0"/>
        <i x="1" s="1"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4C67FEC2-A438-4A3E-BCA7-9ACC5D3D8325}" sourceName="Item">
  <pivotTables>
    <pivotTable tabId="6" name="PivotTable2"/>
    <pivotTable tabId="6" name="PivotTable3"/>
    <pivotTable tabId="6" name="PivotTable4"/>
    <pivotTable tabId="6" name="PivotTable1"/>
    <pivotTable tabId="6" name="PivotTable5"/>
    <pivotTable tabId="6" name="PivotTable7"/>
    <pivotTable tabId="6" name="PivotTable8"/>
    <pivotTable tabId="6" name="PivotTable10"/>
    <pivotTable tabId="6" name="PivotTable11"/>
  </pivotTables>
  <data>
    <tabular pivotCacheId="1401194949">
      <items count="6">
        <i x="1" s="1" nd="1"/>
        <i x="5" s="1" nd="1"/>
        <i x="4" s="1" nd="1"/>
        <i x="0" s="1" nd="1"/>
        <i x="2"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 xr10:uid="{C45A8CCB-3108-481A-8BEE-ECC3D3140492}" sourceName="Days">
  <pivotTables>
    <pivotTable tabId="6" name="PivotTable2"/>
    <pivotTable tabId="6" name="PivotTable1"/>
    <pivotTable tabId="6" name="PivotTable10"/>
    <pivotTable tabId="6" name="PivotTable3"/>
    <pivotTable tabId="6" name="PivotTable4"/>
    <pivotTable tabId="6" name="PivotTable5"/>
    <pivotTable tabId="6" name="PivotTable7"/>
    <pivotTable tabId="6" name="PivotTable8"/>
    <pivotTable tabId="6" name="PivotTable11"/>
  </pivotTables>
  <data>
    <tabular pivotCacheId="1401194949">
      <items count="7">
        <i x="5" s="1" nd="1"/>
        <i x="6" s="1" nd="1"/>
        <i x="0" s="1" nd="1"/>
        <i x="1" s="1" nd="1"/>
        <i x="2" s="1" nd="1"/>
        <i x="3"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1BEC98E5-D720-4F4A-909F-3905C97BC0BC}" sourceName="Seller">
  <pivotTables>
    <pivotTable tabId="6" name="PivotTable8"/>
    <pivotTable tabId="6" name="PivotTable1"/>
    <pivotTable tabId="6" name="PivotTable10"/>
    <pivotTable tabId="6" name="PivotTable2"/>
    <pivotTable tabId="6" name="PivotTable3"/>
    <pivotTable tabId="6" name="PivotTable4"/>
    <pivotTable tabId="6" name="PivotTable5"/>
    <pivotTable tabId="6" name="PivotTable7"/>
    <pivotTable tabId="6" name="PivotTable11"/>
  </pivotTables>
  <data>
    <tabular pivotCacheId="1401194949">
      <items count="6">
        <i x="1"/>
        <i x="2"/>
        <i x="5" nd="1"/>
        <i x="4" s="1" nd="1"/>
        <i x="3" nd="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402A47DB-1210-4614-BBD8-EFC7DAB83A1F}" cache="Slicer_City" caption="City" style="SlicerStyleOther1" rowHeight="216000"/>
  <slicer name="Item 1" xr10:uid="{7D0ACFDE-61F4-44EB-B9B7-C2C787E29836}" cache="Slicer_Item" caption="Item" columnCount="2" style="SlicerStyleOther1" rowHeight="234000"/>
  <slicer name="Days 1" xr10:uid="{43F3CFA0-3690-46AC-8420-1B73F06CD92F}" cache="Slicer_Days" caption="Days" columnCount="2" style="SlicerStyleOther1" rowHeight="216000"/>
  <slicer name="Seller 1" xr10:uid="{E7E2F6DA-FA90-4CA7-B9FC-525C0986CD3A}" cache="Slicer_Seller" caption="Seller" style="SlicerStyleOther1"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209E7A-5422-4928-AFBE-A5E581968F4D}" name="Table1" displayName="Table1" ref="A1:I145" totalsRowShown="0" headerRowDxfId="6">
  <autoFilter ref="A1:I145" xr:uid="{E9B25238-4AEF-4AC0-AC91-14C51476B4FC}"/>
  <tableColumns count="9">
    <tableColumn id="1" xr3:uid="{25D61385-4B3C-4E7F-AD0D-BD962F929298}" name="S.N"/>
    <tableColumn id="2" xr3:uid="{068EAEB7-CB3E-47E4-9A93-4F9DACACDC64}" name="Seller"/>
    <tableColumn id="3" xr3:uid="{C06B21EA-2FCB-4029-9847-6BB4A1CFEBEA}" name="City"/>
    <tableColumn id="4" xr3:uid="{8037238D-9CAF-488A-894A-8A27E6AD042A}" name="Date" dataDxfId="5"/>
    <tableColumn id="5" xr3:uid="{5528B22C-6EE8-4BFC-ABB4-CF8F3C5A836A}" name="Item"/>
    <tableColumn id="6" xr3:uid="{E2B86A88-1F99-401F-A723-8B0401F6923A}" name="Qty"/>
    <tableColumn id="7" xr3:uid="{F90474A4-D719-402D-AADC-D1266BB957FD}" name="Rate"/>
    <tableColumn id="8" xr3:uid="{B305E7C5-2541-4ABE-AFE4-9C2780C70D31}" name="Total">
      <calculatedColumnFormula>F2*G2</calculatedColumnFormula>
    </tableColumn>
    <tableColumn id="9" xr3:uid="{E5FC74B0-B35C-4660-9077-CD19D2AC0BA1}" name="Days" dataDxfId="4">
      <calculatedColumnFormula>TEXT(Table1[[#This Row],[Date]],"ddd")</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A224389-B888-483F-9F0F-38BC1F24BAA6}" sourceName="Date">
  <pivotTables>
    <pivotTable tabId="6" name="PivotTable2"/>
    <pivotTable tabId="6" name="PivotTable3"/>
    <pivotTable tabId="6" name="PivotTable4"/>
    <pivotTable tabId="6" name="PivotTable1"/>
    <pivotTable tabId="6" name="PivotTable5"/>
    <pivotTable tabId="6" name="PivotTable7"/>
    <pivotTable tabId="6" name="PivotTable8"/>
    <pivotTable tabId="6" name="PivotTable10"/>
    <pivotTable tabId="6" name="PivotTable11"/>
  </pivotTables>
  <state minimalRefreshVersion="6" lastRefreshVersion="6" pivotCacheId="1401194949"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49A3D7DF-BC7E-4D2D-AA72-DA168C6DCB5F}" cache="NativeTimeline_Date" caption="Date" showSelectionLabel="0" showTimeLevel="0" showHorizontalScrollbar="0" level="2" selectionLevel="2" scrollPosition="2025-01-01T00:00:00" style="TimeSlicerStyleDark3"/>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FABAE-809D-4A92-9DEE-8225A019C4E1}">
  <dimension ref="A1:L145"/>
  <sheetViews>
    <sheetView zoomScale="130" zoomScaleNormal="130" workbookViewId="0">
      <selection activeCell="I3" sqref="I3"/>
    </sheetView>
  </sheetViews>
  <sheetFormatPr defaultRowHeight="14.4" x14ac:dyDescent="0.3"/>
  <cols>
    <col min="1" max="1" width="6.109375" bestFit="1" customWidth="1"/>
    <col min="2" max="2" width="19.33203125" bestFit="1" customWidth="1"/>
    <col min="3" max="4" width="10.33203125" bestFit="1" customWidth="1"/>
    <col min="5" max="5" width="9.44140625" bestFit="1" customWidth="1"/>
    <col min="6" max="6" width="5.21875" customWidth="1"/>
    <col min="7" max="7" width="6.109375" customWidth="1"/>
    <col min="9" max="9" width="8.109375" bestFit="1" customWidth="1"/>
    <col min="11" max="12" width="10.33203125" bestFit="1" customWidth="1"/>
  </cols>
  <sheetData>
    <row r="1" spans="1:12" x14ac:dyDescent="0.3">
      <c r="A1" s="1" t="s">
        <v>0</v>
      </c>
      <c r="B1" s="1" t="s">
        <v>1</v>
      </c>
      <c r="C1" s="1" t="s">
        <v>2</v>
      </c>
      <c r="D1" s="1" t="s">
        <v>3</v>
      </c>
      <c r="E1" s="1" t="s">
        <v>4</v>
      </c>
      <c r="F1" s="1" t="s">
        <v>5</v>
      </c>
      <c r="G1" s="1" t="s">
        <v>6</v>
      </c>
      <c r="H1" s="1" t="s">
        <v>22</v>
      </c>
      <c r="I1" s="1" t="s">
        <v>27</v>
      </c>
    </row>
    <row r="2" spans="1:12" x14ac:dyDescent="0.3">
      <c r="A2">
        <v>1</v>
      </c>
      <c r="B2" t="s">
        <v>8</v>
      </c>
      <c r="C2" t="s">
        <v>14</v>
      </c>
      <c r="D2" s="2">
        <v>45658</v>
      </c>
      <c r="E2" t="s">
        <v>17</v>
      </c>
      <c r="F2">
        <v>4</v>
      </c>
      <c r="G2">
        <v>150</v>
      </c>
      <c r="H2">
        <f>F2*G2</f>
        <v>600</v>
      </c>
      <c r="I2" t="str">
        <f>TEXT(Table1[[#This Row],[Date]],"ddd")</f>
        <v>Wed</v>
      </c>
    </row>
    <row r="3" spans="1:12" x14ac:dyDescent="0.3">
      <c r="A3">
        <v>2</v>
      </c>
      <c r="B3" t="s">
        <v>8</v>
      </c>
      <c r="C3" t="s">
        <v>14</v>
      </c>
      <c r="D3" s="2">
        <v>45658</v>
      </c>
      <c r="E3" t="s">
        <v>21</v>
      </c>
      <c r="F3">
        <v>9</v>
      </c>
      <c r="G3">
        <v>350</v>
      </c>
      <c r="H3">
        <f t="shared" ref="H3:H66" si="0">F3*G3</f>
        <v>3150</v>
      </c>
      <c r="I3" t="str">
        <f>TEXT(Table1[[#This Row],[Date]],"ddd")</f>
        <v>Wed</v>
      </c>
    </row>
    <row r="4" spans="1:12" x14ac:dyDescent="0.3">
      <c r="A4">
        <v>3</v>
      </c>
      <c r="B4" t="s">
        <v>8</v>
      </c>
      <c r="C4" t="s">
        <v>14</v>
      </c>
      <c r="D4" s="2">
        <v>45658</v>
      </c>
      <c r="E4" t="s">
        <v>19</v>
      </c>
      <c r="F4">
        <v>4</v>
      </c>
      <c r="G4">
        <v>1800</v>
      </c>
      <c r="H4">
        <f t="shared" si="0"/>
        <v>7200</v>
      </c>
      <c r="I4" t="str">
        <f>TEXT(Table1[[#This Row],[Date]],"ddd")</f>
        <v>Wed</v>
      </c>
      <c r="K4" s="2"/>
      <c r="L4" s="2"/>
    </row>
    <row r="5" spans="1:12" x14ac:dyDescent="0.3">
      <c r="A5">
        <v>4</v>
      </c>
      <c r="B5" t="s">
        <v>8</v>
      </c>
      <c r="C5" t="s">
        <v>14</v>
      </c>
      <c r="D5" s="2">
        <v>45658</v>
      </c>
      <c r="E5" t="s">
        <v>16</v>
      </c>
      <c r="F5">
        <v>16</v>
      </c>
      <c r="G5">
        <v>2300</v>
      </c>
      <c r="H5">
        <f t="shared" si="0"/>
        <v>36800</v>
      </c>
      <c r="I5" t="str">
        <f>TEXT(Table1[[#This Row],[Date]],"ddd")</f>
        <v>Wed</v>
      </c>
    </row>
    <row r="6" spans="1:12" x14ac:dyDescent="0.3">
      <c r="A6">
        <v>5</v>
      </c>
      <c r="B6" t="s">
        <v>8</v>
      </c>
      <c r="C6" t="s">
        <v>14</v>
      </c>
      <c r="D6" s="2">
        <v>45658</v>
      </c>
      <c r="E6" t="s">
        <v>18</v>
      </c>
      <c r="F6">
        <v>13</v>
      </c>
      <c r="G6">
        <v>4000</v>
      </c>
      <c r="H6">
        <f t="shared" si="0"/>
        <v>52000</v>
      </c>
      <c r="I6" t="str">
        <f>TEXT(Table1[[#This Row],[Date]],"ddd")</f>
        <v>Wed</v>
      </c>
    </row>
    <row r="7" spans="1:12" x14ac:dyDescent="0.3">
      <c r="A7">
        <v>6</v>
      </c>
      <c r="B7" t="s">
        <v>8</v>
      </c>
      <c r="C7" t="s">
        <v>14</v>
      </c>
      <c r="D7" s="2">
        <v>45658</v>
      </c>
      <c r="E7" t="s">
        <v>20</v>
      </c>
      <c r="F7">
        <v>9</v>
      </c>
      <c r="G7">
        <v>8000</v>
      </c>
      <c r="H7">
        <f t="shared" si="0"/>
        <v>72000</v>
      </c>
      <c r="I7" t="str">
        <f>TEXT(Table1[[#This Row],[Date]],"ddd")</f>
        <v>Wed</v>
      </c>
    </row>
    <row r="8" spans="1:12" x14ac:dyDescent="0.3">
      <c r="A8">
        <v>7</v>
      </c>
      <c r="B8" t="s">
        <v>9</v>
      </c>
      <c r="C8" t="s">
        <v>13</v>
      </c>
      <c r="D8" s="2">
        <v>45659</v>
      </c>
      <c r="E8" t="s">
        <v>17</v>
      </c>
      <c r="F8">
        <v>14</v>
      </c>
      <c r="G8">
        <v>150</v>
      </c>
      <c r="H8">
        <f t="shared" si="0"/>
        <v>2100</v>
      </c>
      <c r="I8" t="str">
        <f>TEXT(Table1[[#This Row],[Date]],"ddd")</f>
        <v>Thu</v>
      </c>
    </row>
    <row r="9" spans="1:12" x14ac:dyDescent="0.3">
      <c r="A9">
        <v>8</v>
      </c>
      <c r="B9" t="s">
        <v>7</v>
      </c>
      <c r="C9" t="s">
        <v>13</v>
      </c>
      <c r="D9" s="2">
        <v>45659</v>
      </c>
      <c r="E9" t="s">
        <v>17</v>
      </c>
      <c r="F9">
        <v>13</v>
      </c>
      <c r="G9">
        <v>150</v>
      </c>
      <c r="H9">
        <f t="shared" si="0"/>
        <v>1950</v>
      </c>
      <c r="I9" t="str">
        <f>TEXT(Table1[[#This Row],[Date]],"ddd")</f>
        <v>Thu</v>
      </c>
    </row>
    <row r="10" spans="1:12" x14ac:dyDescent="0.3">
      <c r="A10">
        <v>9</v>
      </c>
      <c r="B10" t="s">
        <v>9</v>
      </c>
      <c r="C10" t="s">
        <v>13</v>
      </c>
      <c r="D10" s="2">
        <v>45659</v>
      </c>
      <c r="E10" t="s">
        <v>21</v>
      </c>
      <c r="F10">
        <v>14</v>
      </c>
      <c r="G10">
        <v>350</v>
      </c>
      <c r="H10">
        <f t="shared" si="0"/>
        <v>4900</v>
      </c>
      <c r="I10" t="str">
        <f>TEXT(Table1[[#This Row],[Date]],"ddd")</f>
        <v>Thu</v>
      </c>
    </row>
    <row r="11" spans="1:12" x14ac:dyDescent="0.3">
      <c r="A11">
        <v>10</v>
      </c>
      <c r="B11" t="s">
        <v>7</v>
      </c>
      <c r="C11" t="s">
        <v>13</v>
      </c>
      <c r="D11" s="2">
        <v>45659</v>
      </c>
      <c r="E11" t="s">
        <v>21</v>
      </c>
      <c r="F11">
        <v>11</v>
      </c>
      <c r="G11">
        <v>350</v>
      </c>
      <c r="H11">
        <f t="shared" si="0"/>
        <v>3850</v>
      </c>
      <c r="I11" t="str">
        <f>TEXT(Table1[[#This Row],[Date]],"ddd")</f>
        <v>Thu</v>
      </c>
    </row>
    <row r="12" spans="1:12" x14ac:dyDescent="0.3">
      <c r="A12">
        <v>11</v>
      </c>
      <c r="B12" t="s">
        <v>9</v>
      </c>
      <c r="C12" t="s">
        <v>13</v>
      </c>
      <c r="D12" s="2">
        <v>45659</v>
      </c>
      <c r="E12" t="s">
        <v>19</v>
      </c>
      <c r="F12">
        <v>15</v>
      </c>
      <c r="G12">
        <v>1800</v>
      </c>
      <c r="H12">
        <f t="shared" si="0"/>
        <v>27000</v>
      </c>
      <c r="I12" t="str">
        <f>TEXT(Table1[[#This Row],[Date]],"ddd")</f>
        <v>Thu</v>
      </c>
    </row>
    <row r="13" spans="1:12" x14ac:dyDescent="0.3">
      <c r="A13">
        <v>12</v>
      </c>
      <c r="B13" t="s">
        <v>7</v>
      </c>
      <c r="C13" t="s">
        <v>13</v>
      </c>
      <c r="D13" s="2">
        <v>45659</v>
      </c>
      <c r="E13" t="s">
        <v>19</v>
      </c>
      <c r="F13">
        <v>7</v>
      </c>
      <c r="G13">
        <v>1800</v>
      </c>
      <c r="H13">
        <f t="shared" si="0"/>
        <v>12600</v>
      </c>
      <c r="I13" t="str">
        <f>TEXT(Table1[[#This Row],[Date]],"ddd")</f>
        <v>Thu</v>
      </c>
    </row>
    <row r="14" spans="1:12" x14ac:dyDescent="0.3">
      <c r="A14">
        <v>13</v>
      </c>
      <c r="B14" t="s">
        <v>9</v>
      </c>
      <c r="C14" t="s">
        <v>13</v>
      </c>
      <c r="D14" s="2">
        <v>45659</v>
      </c>
      <c r="E14" t="s">
        <v>16</v>
      </c>
      <c r="F14">
        <v>7</v>
      </c>
      <c r="G14">
        <v>2300</v>
      </c>
      <c r="H14">
        <f t="shared" si="0"/>
        <v>16100</v>
      </c>
      <c r="I14" t="str">
        <f>TEXT(Table1[[#This Row],[Date]],"ddd")</f>
        <v>Thu</v>
      </c>
    </row>
    <row r="15" spans="1:12" x14ac:dyDescent="0.3">
      <c r="A15">
        <v>14</v>
      </c>
      <c r="B15" t="s">
        <v>7</v>
      </c>
      <c r="C15" t="s">
        <v>13</v>
      </c>
      <c r="D15" s="2">
        <v>45659</v>
      </c>
      <c r="E15" t="s">
        <v>16</v>
      </c>
      <c r="F15">
        <v>13</v>
      </c>
      <c r="G15">
        <v>2300</v>
      </c>
      <c r="H15">
        <f t="shared" si="0"/>
        <v>29900</v>
      </c>
      <c r="I15" t="str">
        <f>TEXT(Table1[[#This Row],[Date]],"ddd")</f>
        <v>Thu</v>
      </c>
    </row>
    <row r="16" spans="1:12" x14ac:dyDescent="0.3">
      <c r="A16">
        <v>15</v>
      </c>
      <c r="B16" t="s">
        <v>9</v>
      </c>
      <c r="C16" t="s">
        <v>13</v>
      </c>
      <c r="D16" s="2">
        <v>45659</v>
      </c>
      <c r="E16" t="s">
        <v>18</v>
      </c>
      <c r="F16">
        <v>10</v>
      </c>
      <c r="G16">
        <v>4000</v>
      </c>
      <c r="H16">
        <f t="shared" si="0"/>
        <v>40000</v>
      </c>
      <c r="I16" t="str">
        <f>TEXT(Table1[[#This Row],[Date]],"ddd")</f>
        <v>Thu</v>
      </c>
    </row>
    <row r="17" spans="1:9" x14ac:dyDescent="0.3">
      <c r="A17">
        <v>16</v>
      </c>
      <c r="B17" t="s">
        <v>7</v>
      </c>
      <c r="C17" t="s">
        <v>13</v>
      </c>
      <c r="D17" s="2">
        <v>45659</v>
      </c>
      <c r="E17" t="s">
        <v>18</v>
      </c>
      <c r="F17">
        <v>4</v>
      </c>
      <c r="G17">
        <v>4000</v>
      </c>
      <c r="H17">
        <f t="shared" si="0"/>
        <v>16000</v>
      </c>
      <c r="I17" t="str">
        <f>TEXT(Table1[[#This Row],[Date]],"ddd")</f>
        <v>Thu</v>
      </c>
    </row>
    <row r="18" spans="1:9" x14ac:dyDescent="0.3">
      <c r="A18">
        <v>17</v>
      </c>
      <c r="B18" t="s">
        <v>7</v>
      </c>
      <c r="C18" t="s">
        <v>13</v>
      </c>
      <c r="D18" s="2">
        <v>45659</v>
      </c>
      <c r="E18" t="s">
        <v>20</v>
      </c>
      <c r="F18">
        <v>13</v>
      </c>
      <c r="G18">
        <v>8000</v>
      </c>
      <c r="H18">
        <f t="shared" si="0"/>
        <v>104000</v>
      </c>
      <c r="I18" t="str">
        <f>TEXT(Table1[[#This Row],[Date]],"ddd")</f>
        <v>Thu</v>
      </c>
    </row>
    <row r="19" spans="1:9" x14ac:dyDescent="0.3">
      <c r="A19">
        <v>18</v>
      </c>
      <c r="B19" t="s">
        <v>9</v>
      </c>
      <c r="C19" t="s">
        <v>13</v>
      </c>
      <c r="D19" s="2">
        <v>45659</v>
      </c>
      <c r="E19" t="s">
        <v>20</v>
      </c>
      <c r="F19">
        <v>12</v>
      </c>
      <c r="G19">
        <v>8000</v>
      </c>
      <c r="H19">
        <f t="shared" si="0"/>
        <v>96000</v>
      </c>
      <c r="I19" t="str">
        <f>TEXT(Table1[[#This Row],[Date]],"ddd")</f>
        <v>Thu</v>
      </c>
    </row>
    <row r="20" spans="1:9" x14ac:dyDescent="0.3">
      <c r="A20">
        <v>19</v>
      </c>
      <c r="B20" t="s">
        <v>11</v>
      </c>
      <c r="C20" t="s">
        <v>15</v>
      </c>
      <c r="D20" s="2">
        <v>45660</v>
      </c>
      <c r="E20" t="s">
        <v>17</v>
      </c>
      <c r="F20">
        <v>4</v>
      </c>
      <c r="G20">
        <v>150</v>
      </c>
      <c r="H20">
        <f t="shared" si="0"/>
        <v>600</v>
      </c>
      <c r="I20" t="str">
        <f>TEXT(Table1[[#This Row],[Date]],"ddd")</f>
        <v>Fri</v>
      </c>
    </row>
    <row r="21" spans="1:9" x14ac:dyDescent="0.3">
      <c r="A21">
        <v>20</v>
      </c>
      <c r="B21" t="s">
        <v>11</v>
      </c>
      <c r="C21" t="s">
        <v>15</v>
      </c>
      <c r="D21" s="2">
        <v>45660</v>
      </c>
      <c r="E21" t="s">
        <v>21</v>
      </c>
      <c r="F21">
        <v>12</v>
      </c>
      <c r="G21">
        <v>350</v>
      </c>
      <c r="H21">
        <f t="shared" si="0"/>
        <v>4200</v>
      </c>
      <c r="I21" t="str">
        <f>TEXT(Table1[[#This Row],[Date]],"ddd")</f>
        <v>Fri</v>
      </c>
    </row>
    <row r="22" spans="1:9" x14ac:dyDescent="0.3">
      <c r="A22">
        <v>21</v>
      </c>
      <c r="B22" t="s">
        <v>11</v>
      </c>
      <c r="C22" t="s">
        <v>15</v>
      </c>
      <c r="D22" s="2">
        <v>45660</v>
      </c>
      <c r="E22" t="s">
        <v>19</v>
      </c>
      <c r="F22">
        <v>5</v>
      </c>
      <c r="G22">
        <v>1800</v>
      </c>
      <c r="H22">
        <f t="shared" si="0"/>
        <v>9000</v>
      </c>
      <c r="I22" t="str">
        <f>TEXT(Table1[[#This Row],[Date]],"ddd")</f>
        <v>Fri</v>
      </c>
    </row>
    <row r="23" spans="1:9" x14ac:dyDescent="0.3">
      <c r="A23">
        <v>22</v>
      </c>
      <c r="B23" t="s">
        <v>11</v>
      </c>
      <c r="C23" t="s">
        <v>15</v>
      </c>
      <c r="D23" s="2">
        <v>45660</v>
      </c>
      <c r="E23" t="s">
        <v>16</v>
      </c>
      <c r="F23">
        <v>10</v>
      </c>
      <c r="G23">
        <v>2300</v>
      </c>
      <c r="H23">
        <f t="shared" si="0"/>
        <v>23000</v>
      </c>
      <c r="I23" t="str">
        <f>TEXT(Table1[[#This Row],[Date]],"ddd")</f>
        <v>Fri</v>
      </c>
    </row>
    <row r="24" spans="1:9" x14ac:dyDescent="0.3">
      <c r="A24">
        <v>23</v>
      </c>
      <c r="B24" t="s">
        <v>11</v>
      </c>
      <c r="C24" t="s">
        <v>15</v>
      </c>
      <c r="D24" s="2">
        <v>45660</v>
      </c>
      <c r="E24" t="s">
        <v>18</v>
      </c>
      <c r="F24">
        <v>10</v>
      </c>
      <c r="G24">
        <v>4000</v>
      </c>
      <c r="H24">
        <f t="shared" si="0"/>
        <v>40000</v>
      </c>
      <c r="I24" t="str">
        <f>TEXT(Table1[[#This Row],[Date]],"ddd")</f>
        <v>Fri</v>
      </c>
    </row>
    <row r="25" spans="1:9" x14ac:dyDescent="0.3">
      <c r="A25">
        <v>24</v>
      </c>
      <c r="B25" t="s">
        <v>11</v>
      </c>
      <c r="C25" t="s">
        <v>15</v>
      </c>
      <c r="D25" s="2">
        <v>45660</v>
      </c>
      <c r="E25" t="s">
        <v>20</v>
      </c>
      <c r="F25">
        <v>10</v>
      </c>
      <c r="G25">
        <v>8000</v>
      </c>
      <c r="H25">
        <f t="shared" si="0"/>
        <v>80000</v>
      </c>
      <c r="I25" t="str">
        <f>TEXT(Table1[[#This Row],[Date]],"ddd")</f>
        <v>Fri</v>
      </c>
    </row>
    <row r="26" spans="1:9" x14ac:dyDescent="0.3">
      <c r="A26">
        <v>25</v>
      </c>
      <c r="B26" t="s">
        <v>10</v>
      </c>
      <c r="C26" t="s">
        <v>14</v>
      </c>
      <c r="D26" s="2">
        <v>45661</v>
      </c>
      <c r="E26" t="s">
        <v>17</v>
      </c>
      <c r="F26">
        <v>11</v>
      </c>
      <c r="G26">
        <v>150</v>
      </c>
      <c r="H26">
        <f t="shared" si="0"/>
        <v>1650</v>
      </c>
      <c r="I26" t="str">
        <f>TEXT(Table1[[#This Row],[Date]],"ddd")</f>
        <v>Sat</v>
      </c>
    </row>
    <row r="27" spans="1:9" x14ac:dyDescent="0.3">
      <c r="A27">
        <v>26</v>
      </c>
      <c r="B27" t="s">
        <v>10</v>
      </c>
      <c r="C27" t="s">
        <v>14</v>
      </c>
      <c r="D27" s="2">
        <v>45661</v>
      </c>
      <c r="E27" t="s">
        <v>21</v>
      </c>
      <c r="F27">
        <v>5</v>
      </c>
      <c r="G27">
        <v>350</v>
      </c>
      <c r="H27">
        <f t="shared" si="0"/>
        <v>1750</v>
      </c>
      <c r="I27" t="str">
        <f>TEXT(Table1[[#This Row],[Date]],"ddd")</f>
        <v>Sat</v>
      </c>
    </row>
    <row r="28" spans="1:9" x14ac:dyDescent="0.3">
      <c r="A28">
        <v>27</v>
      </c>
      <c r="B28" t="s">
        <v>10</v>
      </c>
      <c r="C28" t="s">
        <v>14</v>
      </c>
      <c r="D28" s="2">
        <v>45661</v>
      </c>
      <c r="E28" t="s">
        <v>19</v>
      </c>
      <c r="F28">
        <v>14</v>
      </c>
      <c r="G28">
        <v>1800</v>
      </c>
      <c r="H28">
        <f t="shared" si="0"/>
        <v>25200</v>
      </c>
      <c r="I28" t="str">
        <f>TEXT(Table1[[#This Row],[Date]],"ddd")</f>
        <v>Sat</v>
      </c>
    </row>
    <row r="29" spans="1:9" x14ac:dyDescent="0.3">
      <c r="A29">
        <v>28</v>
      </c>
      <c r="B29" t="s">
        <v>10</v>
      </c>
      <c r="C29" t="s">
        <v>14</v>
      </c>
      <c r="D29" s="2">
        <v>45661</v>
      </c>
      <c r="E29" t="s">
        <v>16</v>
      </c>
      <c r="F29">
        <v>6</v>
      </c>
      <c r="G29">
        <v>2300</v>
      </c>
      <c r="H29">
        <f t="shared" si="0"/>
        <v>13800</v>
      </c>
      <c r="I29" t="str">
        <f>TEXT(Table1[[#This Row],[Date]],"ddd")</f>
        <v>Sat</v>
      </c>
    </row>
    <row r="30" spans="1:9" x14ac:dyDescent="0.3">
      <c r="A30">
        <v>29</v>
      </c>
      <c r="B30" t="s">
        <v>10</v>
      </c>
      <c r="C30" t="s">
        <v>14</v>
      </c>
      <c r="D30" s="2">
        <v>45661</v>
      </c>
      <c r="E30" t="s">
        <v>18</v>
      </c>
      <c r="F30">
        <v>14</v>
      </c>
      <c r="G30">
        <v>4000</v>
      </c>
      <c r="H30">
        <f t="shared" si="0"/>
        <v>56000</v>
      </c>
      <c r="I30" t="str">
        <f>TEXT(Table1[[#This Row],[Date]],"ddd")</f>
        <v>Sat</v>
      </c>
    </row>
    <row r="31" spans="1:9" x14ac:dyDescent="0.3">
      <c r="A31">
        <v>30</v>
      </c>
      <c r="B31" t="s">
        <v>10</v>
      </c>
      <c r="C31" t="s">
        <v>14</v>
      </c>
      <c r="D31" s="2">
        <v>45661</v>
      </c>
      <c r="E31" t="s">
        <v>20</v>
      </c>
      <c r="F31">
        <v>14</v>
      </c>
      <c r="G31">
        <v>8000</v>
      </c>
      <c r="H31">
        <f t="shared" si="0"/>
        <v>112000</v>
      </c>
      <c r="I31" t="str">
        <f>TEXT(Table1[[#This Row],[Date]],"ddd")</f>
        <v>Sat</v>
      </c>
    </row>
    <row r="32" spans="1:9" x14ac:dyDescent="0.3">
      <c r="A32">
        <v>31</v>
      </c>
      <c r="B32" t="s">
        <v>12</v>
      </c>
      <c r="C32" t="s">
        <v>15</v>
      </c>
      <c r="D32" s="2">
        <v>45662</v>
      </c>
      <c r="E32" t="s">
        <v>17</v>
      </c>
      <c r="F32">
        <v>9</v>
      </c>
      <c r="G32">
        <v>150</v>
      </c>
      <c r="H32">
        <f t="shared" si="0"/>
        <v>1350</v>
      </c>
      <c r="I32" t="str">
        <f>TEXT(Table1[[#This Row],[Date]],"ddd")</f>
        <v>Sun</v>
      </c>
    </row>
    <row r="33" spans="1:9" x14ac:dyDescent="0.3">
      <c r="A33">
        <v>32</v>
      </c>
      <c r="B33" t="s">
        <v>12</v>
      </c>
      <c r="C33" t="s">
        <v>15</v>
      </c>
      <c r="D33" s="2">
        <v>45662</v>
      </c>
      <c r="E33" t="s">
        <v>21</v>
      </c>
      <c r="F33">
        <v>7</v>
      </c>
      <c r="G33">
        <v>350</v>
      </c>
      <c r="H33">
        <f t="shared" si="0"/>
        <v>2450</v>
      </c>
      <c r="I33" t="str">
        <f>TEXT(Table1[[#This Row],[Date]],"ddd")</f>
        <v>Sun</v>
      </c>
    </row>
    <row r="34" spans="1:9" x14ac:dyDescent="0.3">
      <c r="A34">
        <v>33</v>
      </c>
      <c r="B34" t="s">
        <v>12</v>
      </c>
      <c r="C34" t="s">
        <v>15</v>
      </c>
      <c r="D34" s="2">
        <v>45662</v>
      </c>
      <c r="E34" t="s">
        <v>19</v>
      </c>
      <c r="F34">
        <v>7</v>
      </c>
      <c r="G34">
        <v>1800</v>
      </c>
      <c r="H34">
        <f t="shared" si="0"/>
        <v>12600</v>
      </c>
      <c r="I34" t="str">
        <f>TEXT(Table1[[#This Row],[Date]],"ddd")</f>
        <v>Sun</v>
      </c>
    </row>
    <row r="35" spans="1:9" x14ac:dyDescent="0.3">
      <c r="A35">
        <v>34</v>
      </c>
      <c r="B35" t="s">
        <v>12</v>
      </c>
      <c r="C35" t="s">
        <v>15</v>
      </c>
      <c r="D35" s="2">
        <v>45662</v>
      </c>
      <c r="E35" t="s">
        <v>16</v>
      </c>
      <c r="F35">
        <v>16</v>
      </c>
      <c r="G35">
        <v>2300</v>
      </c>
      <c r="H35">
        <f t="shared" si="0"/>
        <v>36800</v>
      </c>
      <c r="I35" t="str">
        <f>TEXT(Table1[[#This Row],[Date]],"ddd")</f>
        <v>Sun</v>
      </c>
    </row>
    <row r="36" spans="1:9" x14ac:dyDescent="0.3">
      <c r="A36">
        <v>35</v>
      </c>
      <c r="B36" t="s">
        <v>12</v>
      </c>
      <c r="C36" t="s">
        <v>15</v>
      </c>
      <c r="D36" s="2">
        <v>45662</v>
      </c>
      <c r="E36" t="s">
        <v>18</v>
      </c>
      <c r="F36">
        <v>5</v>
      </c>
      <c r="G36">
        <v>4000</v>
      </c>
      <c r="H36">
        <f t="shared" si="0"/>
        <v>20000</v>
      </c>
      <c r="I36" t="str">
        <f>TEXT(Table1[[#This Row],[Date]],"ddd")</f>
        <v>Sun</v>
      </c>
    </row>
    <row r="37" spans="1:9" x14ac:dyDescent="0.3">
      <c r="A37">
        <v>36</v>
      </c>
      <c r="B37" t="s">
        <v>12</v>
      </c>
      <c r="C37" t="s">
        <v>15</v>
      </c>
      <c r="D37" s="2">
        <v>45662</v>
      </c>
      <c r="E37" t="s">
        <v>20</v>
      </c>
      <c r="F37">
        <v>6</v>
      </c>
      <c r="G37">
        <v>8000</v>
      </c>
      <c r="H37">
        <f t="shared" si="0"/>
        <v>48000</v>
      </c>
      <c r="I37" t="str">
        <f>TEXT(Table1[[#This Row],[Date]],"ddd")</f>
        <v>Sun</v>
      </c>
    </row>
    <row r="38" spans="1:9" x14ac:dyDescent="0.3">
      <c r="A38">
        <v>37</v>
      </c>
      <c r="B38" t="s">
        <v>8</v>
      </c>
      <c r="C38" t="s">
        <v>14</v>
      </c>
      <c r="D38" s="2">
        <v>45689</v>
      </c>
      <c r="E38" t="s">
        <v>17</v>
      </c>
      <c r="F38">
        <v>12</v>
      </c>
      <c r="G38">
        <v>150</v>
      </c>
      <c r="H38">
        <f t="shared" si="0"/>
        <v>1800</v>
      </c>
      <c r="I38" t="str">
        <f>TEXT(Table1[[#This Row],[Date]],"ddd")</f>
        <v>Sat</v>
      </c>
    </row>
    <row r="39" spans="1:9" x14ac:dyDescent="0.3">
      <c r="A39">
        <v>38</v>
      </c>
      <c r="B39" t="s">
        <v>8</v>
      </c>
      <c r="C39" t="s">
        <v>14</v>
      </c>
      <c r="D39" s="2">
        <v>45689</v>
      </c>
      <c r="E39" t="s">
        <v>21</v>
      </c>
      <c r="F39">
        <v>4</v>
      </c>
      <c r="G39">
        <v>350</v>
      </c>
      <c r="H39">
        <f t="shared" si="0"/>
        <v>1400</v>
      </c>
      <c r="I39" t="str">
        <f>TEXT(Table1[[#This Row],[Date]],"ddd")</f>
        <v>Sat</v>
      </c>
    </row>
    <row r="40" spans="1:9" x14ac:dyDescent="0.3">
      <c r="A40">
        <v>39</v>
      </c>
      <c r="B40" t="s">
        <v>8</v>
      </c>
      <c r="C40" t="s">
        <v>14</v>
      </c>
      <c r="D40" s="2">
        <v>45689</v>
      </c>
      <c r="E40" t="s">
        <v>19</v>
      </c>
      <c r="F40">
        <v>10</v>
      </c>
      <c r="G40">
        <v>1800</v>
      </c>
      <c r="H40">
        <f t="shared" si="0"/>
        <v>18000</v>
      </c>
      <c r="I40" t="str">
        <f>TEXT(Table1[[#This Row],[Date]],"ddd")</f>
        <v>Sat</v>
      </c>
    </row>
    <row r="41" spans="1:9" x14ac:dyDescent="0.3">
      <c r="A41">
        <v>40</v>
      </c>
      <c r="B41" t="s">
        <v>8</v>
      </c>
      <c r="C41" t="s">
        <v>14</v>
      </c>
      <c r="D41" s="2">
        <v>45689</v>
      </c>
      <c r="E41" t="s">
        <v>16</v>
      </c>
      <c r="F41">
        <v>11</v>
      </c>
      <c r="G41">
        <v>2300</v>
      </c>
      <c r="H41">
        <f t="shared" si="0"/>
        <v>25300</v>
      </c>
      <c r="I41" t="str">
        <f>TEXT(Table1[[#This Row],[Date]],"ddd")</f>
        <v>Sat</v>
      </c>
    </row>
    <row r="42" spans="1:9" x14ac:dyDescent="0.3">
      <c r="A42">
        <v>41</v>
      </c>
      <c r="B42" t="s">
        <v>8</v>
      </c>
      <c r="C42" t="s">
        <v>14</v>
      </c>
      <c r="D42" s="2">
        <v>45689</v>
      </c>
      <c r="E42" t="s">
        <v>18</v>
      </c>
      <c r="F42">
        <v>12</v>
      </c>
      <c r="G42">
        <v>4000</v>
      </c>
      <c r="H42">
        <f t="shared" si="0"/>
        <v>48000</v>
      </c>
      <c r="I42" t="str">
        <f>TEXT(Table1[[#This Row],[Date]],"ddd")</f>
        <v>Sat</v>
      </c>
    </row>
    <row r="43" spans="1:9" x14ac:dyDescent="0.3">
      <c r="A43">
        <v>42</v>
      </c>
      <c r="B43" t="s">
        <v>8</v>
      </c>
      <c r="C43" t="s">
        <v>14</v>
      </c>
      <c r="D43" s="2">
        <v>45689</v>
      </c>
      <c r="E43" t="s">
        <v>20</v>
      </c>
      <c r="F43">
        <v>11</v>
      </c>
      <c r="G43">
        <v>8000</v>
      </c>
      <c r="H43">
        <f t="shared" si="0"/>
        <v>88000</v>
      </c>
      <c r="I43" t="str">
        <f>TEXT(Table1[[#This Row],[Date]],"ddd")</f>
        <v>Sat</v>
      </c>
    </row>
    <row r="44" spans="1:9" x14ac:dyDescent="0.3">
      <c r="A44">
        <v>43</v>
      </c>
      <c r="B44" t="s">
        <v>9</v>
      </c>
      <c r="C44" t="s">
        <v>13</v>
      </c>
      <c r="D44" s="2">
        <v>45690</v>
      </c>
      <c r="E44" t="s">
        <v>17</v>
      </c>
      <c r="F44">
        <v>8</v>
      </c>
      <c r="G44">
        <v>150</v>
      </c>
      <c r="H44">
        <f t="shared" si="0"/>
        <v>1200</v>
      </c>
      <c r="I44" t="str">
        <f>TEXT(Table1[[#This Row],[Date]],"ddd")</f>
        <v>Sun</v>
      </c>
    </row>
    <row r="45" spans="1:9" x14ac:dyDescent="0.3">
      <c r="A45">
        <v>44</v>
      </c>
      <c r="B45" t="s">
        <v>7</v>
      </c>
      <c r="C45" t="s">
        <v>13</v>
      </c>
      <c r="D45" s="2">
        <v>45690</v>
      </c>
      <c r="E45" t="s">
        <v>17</v>
      </c>
      <c r="F45">
        <v>12</v>
      </c>
      <c r="G45">
        <v>150</v>
      </c>
      <c r="H45">
        <f t="shared" si="0"/>
        <v>1800</v>
      </c>
      <c r="I45" t="str">
        <f>TEXT(Table1[[#This Row],[Date]],"ddd")</f>
        <v>Sun</v>
      </c>
    </row>
    <row r="46" spans="1:9" x14ac:dyDescent="0.3">
      <c r="A46">
        <v>45</v>
      </c>
      <c r="B46" t="s">
        <v>9</v>
      </c>
      <c r="C46" t="s">
        <v>13</v>
      </c>
      <c r="D46" s="2">
        <v>45690</v>
      </c>
      <c r="E46" t="s">
        <v>21</v>
      </c>
      <c r="F46">
        <v>4</v>
      </c>
      <c r="G46">
        <v>350</v>
      </c>
      <c r="H46">
        <f t="shared" si="0"/>
        <v>1400</v>
      </c>
      <c r="I46" t="str">
        <f>TEXT(Table1[[#This Row],[Date]],"ddd")</f>
        <v>Sun</v>
      </c>
    </row>
    <row r="47" spans="1:9" x14ac:dyDescent="0.3">
      <c r="A47">
        <v>46</v>
      </c>
      <c r="B47" t="s">
        <v>7</v>
      </c>
      <c r="C47" t="s">
        <v>13</v>
      </c>
      <c r="D47" s="2">
        <v>45690</v>
      </c>
      <c r="E47" t="s">
        <v>21</v>
      </c>
      <c r="F47">
        <v>16</v>
      </c>
      <c r="G47">
        <v>350</v>
      </c>
      <c r="H47">
        <f t="shared" si="0"/>
        <v>5600</v>
      </c>
      <c r="I47" t="str">
        <f>TEXT(Table1[[#This Row],[Date]],"ddd")</f>
        <v>Sun</v>
      </c>
    </row>
    <row r="48" spans="1:9" x14ac:dyDescent="0.3">
      <c r="A48">
        <v>47</v>
      </c>
      <c r="B48" t="s">
        <v>9</v>
      </c>
      <c r="C48" t="s">
        <v>13</v>
      </c>
      <c r="D48" s="2">
        <v>45690</v>
      </c>
      <c r="E48" t="s">
        <v>19</v>
      </c>
      <c r="F48">
        <v>8</v>
      </c>
      <c r="G48">
        <v>1800</v>
      </c>
      <c r="H48">
        <f t="shared" si="0"/>
        <v>14400</v>
      </c>
      <c r="I48" t="str">
        <f>TEXT(Table1[[#This Row],[Date]],"ddd")</f>
        <v>Sun</v>
      </c>
    </row>
    <row r="49" spans="1:9" x14ac:dyDescent="0.3">
      <c r="A49">
        <v>48</v>
      </c>
      <c r="B49" t="s">
        <v>7</v>
      </c>
      <c r="C49" t="s">
        <v>13</v>
      </c>
      <c r="D49" s="2">
        <v>45690</v>
      </c>
      <c r="E49" t="s">
        <v>19</v>
      </c>
      <c r="F49">
        <v>4</v>
      </c>
      <c r="G49">
        <v>1800</v>
      </c>
      <c r="H49">
        <f t="shared" si="0"/>
        <v>7200</v>
      </c>
      <c r="I49" t="str">
        <f>TEXT(Table1[[#This Row],[Date]],"ddd")</f>
        <v>Sun</v>
      </c>
    </row>
    <row r="50" spans="1:9" x14ac:dyDescent="0.3">
      <c r="A50">
        <v>49</v>
      </c>
      <c r="B50" t="s">
        <v>9</v>
      </c>
      <c r="C50" t="s">
        <v>13</v>
      </c>
      <c r="D50" s="2">
        <v>45690</v>
      </c>
      <c r="E50" t="s">
        <v>16</v>
      </c>
      <c r="F50">
        <v>6</v>
      </c>
      <c r="G50">
        <v>2300</v>
      </c>
      <c r="H50">
        <f t="shared" si="0"/>
        <v>13800</v>
      </c>
      <c r="I50" t="str">
        <f>TEXT(Table1[[#This Row],[Date]],"ddd")</f>
        <v>Sun</v>
      </c>
    </row>
    <row r="51" spans="1:9" x14ac:dyDescent="0.3">
      <c r="A51">
        <v>50</v>
      </c>
      <c r="B51" t="s">
        <v>7</v>
      </c>
      <c r="C51" t="s">
        <v>13</v>
      </c>
      <c r="D51" s="2">
        <v>45690</v>
      </c>
      <c r="E51" t="s">
        <v>16</v>
      </c>
      <c r="F51">
        <v>10</v>
      </c>
      <c r="G51">
        <v>2300</v>
      </c>
      <c r="H51">
        <f t="shared" si="0"/>
        <v>23000</v>
      </c>
      <c r="I51" t="str">
        <f>TEXT(Table1[[#This Row],[Date]],"ddd")</f>
        <v>Sun</v>
      </c>
    </row>
    <row r="52" spans="1:9" x14ac:dyDescent="0.3">
      <c r="A52">
        <v>51</v>
      </c>
      <c r="B52" t="s">
        <v>9</v>
      </c>
      <c r="C52" t="s">
        <v>13</v>
      </c>
      <c r="D52" s="2">
        <v>45690</v>
      </c>
      <c r="E52" t="s">
        <v>18</v>
      </c>
      <c r="F52">
        <v>13</v>
      </c>
      <c r="G52">
        <v>4000</v>
      </c>
      <c r="H52">
        <f t="shared" si="0"/>
        <v>52000</v>
      </c>
      <c r="I52" t="str">
        <f>TEXT(Table1[[#This Row],[Date]],"ddd")</f>
        <v>Sun</v>
      </c>
    </row>
    <row r="53" spans="1:9" x14ac:dyDescent="0.3">
      <c r="A53">
        <v>52</v>
      </c>
      <c r="B53" t="s">
        <v>7</v>
      </c>
      <c r="C53" t="s">
        <v>13</v>
      </c>
      <c r="D53" s="2">
        <v>45690</v>
      </c>
      <c r="E53" t="s">
        <v>18</v>
      </c>
      <c r="F53">
        <v>4</v>
      </c>
      <c r="G53">
        <v>4000</v>
      </c>
      <c r="H53">
        <f t="shared" si="0"/>
        <v>16000</v>
      </c>
      <c r="I53" t="str">
        <f>TEXT(Table1[[#This Row],[Date]],"ddd")</f>
        <v>Sun</v>
      </c>
    </row>
    <row r="54" spans="1:9" x14ac:dyDescent="0.3">
      <c r="A54">
        <v>53</v>
      </c>
      <c r="B54" t="s">
        <v>7</v>
      </c>
      <c r="C54" t="s">
        <v>13</v>
      </c>
      <c r="D54" s="2">
        <v>45690</v>
      </c>
      <c r="E54" t="s">
        <v>20</v>
      </c>
      <c r="F54">
        <v>5</v>
      </c>
      <c r="G54">
        <v>8000</v>
      </c>
      <c r="H54">
        <f t="shared" si="0"/>
        <v>40000</v>
      </c>
      <c r="I54" t="str">
        <f>TEXT(Table1[[#This Row],[Date]],"ddd")</f>
        <v>Sun</v>
      </c>
    </row>
    <row r="55" spans="1:9" x14ac:dyDescent="0.3">
      <c r="A55">
        <v>54</v>
      </c>
      <c r="B55" t="s">
        <v>9</v>
      </c>
      <c r="C55" t="s">
        <v>13</v>
      </c>
      <c r="D55" s="2">
        <v>45690</v>
      </c>
      <c r="E55" t="s">
        <v>20</v>
      </c>
      <c r="F55">
        <v>6</v>
      </c>
      <c r="G55">
        <v>8000</v>
      </c>
      <c r="H55">
        <f t="shared" si="0"/>
        <v>48000</v>
      </c>
      <c r="I55" t="str">
        <f>TEXT(Table1[[#This Row],[Date]],"ddd")</f>
        <v>Sun</v>
      </c>
    </row>
    <row r="56" spans="1:9" x14ac:dyDescent="0.3">
      <c r="A56">
        <v>55</v>
      </c>
      <c r="B56" t="s">
        <v>11</v>
      </c>
      <c r="C56" t="s">
        <v>15</v>
      </c>
      <c r="D56" s="2">
        <v>45691</v>
      </c>
      <c r="E56" t="s">
        <v>17</v>
      </c>
      <c r="F56">
        <v>11</v>
      </c>
      <c r="G56">
        <v>150</v>
      </c>
      <c r="H56">
        <f t="shared" si="0"/>
        <v>1650</v>
      </c>
      <c r="I56" t="str">
        <f>TEXT(Table1[[#This Row],[Date]],"ddd")</f>
        <v>Mon</v>
      </c>
    </row>
    <row r="57" spans="1:9" x14ac:dyDescent="0.3">
      <c r="A57">
        <v>56</v>
      </c>
      <c r="B57" t="s">
        <v>11</v>
      </c>
      <c r="C57" t="s">
        <v>15</v>
      </c>
      <c r="D57" s="2">
        <v>45691</v>
      </c>
      <c r="E57" t="s">
        <v>21</v>
      </c>
      <c r="F57">
        <v>12</v>
      </c>
      <c r="G57">
        <v>350</v>
      </c>
      <c r="H57">
        <f t="shared" si="0"/>
        <v>4200</v>
      </c>
      <c r="I57" t="str">
        <f>TEXT(Table1[[#This Row],[Date]],"ddd")</f>
        <v>Mon</v>
      </c>
    </row>
    <row r="58" spans="1:9" x14ac:dyDescent="0.3">
      <c r="A58">
        <v>57</v>
      </c>
      <c r="B58" t="s">
        <v>11</v>
      </c>
      <c r="C58" t="s">
        <v>15</v>
      </c>
      <c r="D58" s="2">
        <v>45691</v>
      </c>
      <c r="E58" t="s">
        <v>19</v>
      </c>
      <c r="F58">
        <v>15</v>
      </c>
      <c r="G58">
        <v>1800</v>
      </c>
      <c r="H58">
        <f t="shared" si="0"/>
        <v>27000</v>
      </c>
      <c r="I58" t="str">
        <f>TEXT(Table1[[#This Row],[Date]],"ddd")</f>
        <v>Mon</v>
      </c>
    </row>
    <row r="59" spans="1:9" x14ac:dyDescent="0.3">
      <c r="A59">
        <v>58</v>
      </c>
      <c r="B59" t="s">
        <v>11</v>
      </c>
      <c r="C59" t="s">
        <v>15</v>
      </c>
      <c r="D59" s="2">
        <v>45691</v>
      </c>
      <c r="E59" t="s">
        <v>16</v>
      </c>
      <c r="F59">
        <v>5</v>
      </c>
      <c r="G59">
        <v>2300</v>
      </c>
      <c r="H59">
        <f t="shared" si="0"/>
        <v>11500</v>
      </c>
      <c r="I59" t="str">
        <f>TEXT(Table1[[#This Row],[Date]],"ddd")</f>
        <v>Mon</v>
      </c>
    </row>
    <row r="60" spans="1:9" x14ac:dyDescent="0.3">
      <c r="A60">
        <v>59</v>
      </c>
      <c r="B60" t="s">
        <v>11</v>
      </c>
      <c r="C60" t="s">
        <v>15</v>
      </c>
      <c r="D60" s="2">
        <v>45691</v>
      </c>
      <c r="E60" t="s">
        <v>18</v>
      </c>
      <c r="F60">
        <v>5</v>
      </c>
      <c r="G60">
        <v>4000</v>
      </c>
      <c r="H60">
        <f t="shared" si="0"/>
        <v>20000</v>
      </c>
      <c r="I60" t="str">
        <f>TEXT(Table1[[#This Row],[Date]],"ddd")</f>
        <v>Mon</v>
      </c>
    </row>
    <row r="61" spans="1:9" x14ac:dyDescent="0.3">
      <c r="A61">
        <v>60</v>
      </c>
      <c r="B61" t="s">
        <v>11</v>
      </c>
      <c r="C61" t="s">
        <v>15</v>
      </c>
      <c r="D61" s="2">
        <v>45691</v>
      </c>
      <c r="E61" t="s">
        <v>20</v>
      </c>
      <c r="F61">
        <v>5</v>
      </c>
      <c r="G61">
        <v>8000</v>
      </c>
      <c r="H61">
        <f t="shared" si="0"/>
        <v>40000</v>
      </c>
      <c r="I61" t="str">
        <f>TEXT(Table1[[#This Row],[Date]],"ddd")</f>
        <v>Mon</v>
      </c>
    </row>
    <row r="62" spans="1:9" x14ac:dyDescent="0.3">
      <c r="A62">
        <v>61</v>
      </c>
      <c r="B62" t="s">
        <v>10</v>
      </c>
      <c r="C62" t="s">
        <v>14</v>
      </c>
      <c r="D62" s="2">
        <v>45692</v>
      </c>
      <c r="E62" t="s">
        <v>17</v>
      </c>
      <c r="F62">
        <v>5</v>
      </c>
      <c r="G62">
        <v>150</v>
      </c>
      <c r="H62">
        <f t="shared" si="0"/>
        <v>750</v>
      </c>
      <c r="I62" t="str">
        <f>TEXT(Table1[[#This Row],[Date]],"ddd")</f>
        <v>Tue</v>
      </c>
    </row>
    <row r="63" spans="1:9" x14ac:dyDescent="0.3">
      <c r="A63">
        <v>62</v>
      </c>
      <c r="B63" t="s">
        <v>10</v>
      </c>
      <c r="C63" t="s">
        <v>14</v>
      </c>
      <c r="D63" s="2">
        <v>45692</v>
      </c>
      <c r="E63" t="s">
        <v>21</v>
      </c>
      <c r="F63">
        <v>14</v>
      </c>
      <c r="G63">
        <v>350</v>
      </c>
      <c r="H63">
        <f t="shared" si="0"/>
        <v>4900</v>
      </c>
      <c r="I63" t="str">
        <f>TEXT(Table1[[#This Row],[Date]],"ddd")</f>
        <v>Tue</v>
      </c>
    </row>
    <row r="64" spans="1:9" x14ac:dyDescent="0.3">
      <c r="A64">
        <v>63</v>
      </c>
      <c r="B64" t="s">
        <v>10</v>
      </c>
      <c r="C64" t="s">
        <v>14</v>
      </c>
      <c r="D64" s="2">
        <v>45692</v>
      </c>
      <c r="E64" t="s">
        <v>19</v>
      </c>
      <c r="F64">
        <v>15</v>
      </c>
      <c r="G64">
        <v>1800</v>
      </c>
      <c r="H64">
        <f t="shared" si="0"/>
        <v>27000</v>
      </c>
      <c r="I64" t="str">
        <f>TEXT(Table1[[#This Row],[Date]],"ddd")</f>
        <v>Tue</v>
      </c>
    </row>
    <row r="65" spans="1:9" x14ac:dyDescent="0.3">
      <c r="A65">
        <v>64</v>
      </c>
      <c r="B65" t="s">
        <v>10</v>
      </c>
      <c r="C65" t="s">
        <v>14</v>
      </c>
      <c r="D65" s="2">
        <v>45692</v>
      </c>
      <c r="E65" t="s">
        <v>16</v>
      </c>
      <c r="F65">
        <v>4</v>
      </c>
      <c r="G65">
        <v>2300</v>
      </c>
      <c r="H65">
        <f t="shared" si="0"/>
        <v>9200</v>
      </c>
      <c r="I65" t="str">
        <f>TEXT(Table1[[#This Row],[Date]],"ddd")</f>
        <v>Tue</v>
      </c>
    </row>
    <row r="66" spans="1:9" x14ac:dyDescent="0.3">
      <c r="A66">
        <v>65</v>
      </c>
      <c r="B66" t="s">
        <v>10</v>
      </c>
      <c r="C66" t="s">
        <v>14</v>
      </c>
      <c r="D66" s="2">
        <v>45692</v>
      </c>
      <c r="E66" t="s">
        <v>18</v>
      </c>
      <c r="F66">
        <v>7</v>
      </c>
      <c r="G66">
        <v>4000</v>
      </c>
      <c r="H66">
        <f t="shared" si="0"/>
        <v>28000</v>
      </c>
      <c r="I66" t="str">
        <f>TEXT(Table1[[#This Row],[Date]],"ddd")</f>
        <v>Tue</v>
      </c>
    </row>
    <row r="67" spans="1:9" x14ac:dyDescent="0.3">
      <c r="A67">
        <v>66</v>
      </c>
      <c r="B67" t="s">
        <v>10</v>
      </c>
      <c r="C67" t="s">
        <v>14</v>
      </c>
      <c r="D67" s="2">
        <v>45692</v>
      </c>
      <c r="E67" t="s">
        <v>20</v>
      </c>
      <c r="F67">
        <v>16</v>
      </c>
      <c r="G67">
        <v>8000</v>
      </c>
      <c r="H67">
        <f t="shared" ref="H67:H130" si="1">F67*G67</f>
        <v>128000</v>
      </c>
      <c r="I67" t="str">
        <f>TEXT(Table1[[#This Row],[Date]],"ddd")</f>
        <v>Tue</v>
      </c>
    </row>
    <row r="68" spans="1:9" x14ac:dyDescent="0.3">
      <c r="A68">
        <v>67</v>
      </c>
      <c r="B68" t="s">
        <v>12</v>
      </c>
      <c r="C68" t="s">
        <v>15</v>
      </c>
      <c r="D68" s="2">
        <v>45693</v>
      </c>
      <c r="E68" t="s">
        <v>17</v>
      </c>
      <c r="F68">
        <v>10</v>
      </c>
      <c r="G68">
        <v>150</v>
      </c>
      <c r="H68">
        <f t="shared" si="1"/>
        <v>1500</v>
      </c>
      <c r="I68" t="str">
        <f>TEXT(Table1[[#This Row],[Date]],"ddd")</f>
        <v>Wed</v>
      </c>
    </row>
    <row r="69" spans="1:9" x14ac:dyDescent="0.3">
      <c r="A69">
        <v>68</v>
      </c>
      <c r="B69" t="s">
        <v>12</v>
      </c>
      <c r="C69" t="s">
        <v>15</v>
      </c>
      <c r="D69" s="2">
        <v>45693</v>
      </c>
      <c r="E69" t="s">
        <v>21</v>
      </c>
      <c r="F69">
        <v>10</v>
      </c>
      <c r="G69">
        <v>350</v>
      </c>
      <c r="H69">
        <f t="shared" si="1"/>
        <v>3500</v>
      </c>
      <c r="I69" t="str">
        <f>TEXT(Table1[[#This Row],[Date]],"ddd")</f>
        <v>Wed</v>
      </c>
    </row>
    <row r="70" spans="1:9" x14ac:dyDescent="0.3">
      <c r="A70">
        <v>69</v>
      </c>
      <c r="B70" t="s">
        <v>12</v>
      </c>
      <c r="C70" t="s">
        <v>15</v>
      </c>
      <c r="D70" s="2">
        <v>45693</v>
      </c>
      <c r="E70" t="s">
        <v>19</v>
      </c>
      <c r="F70">
        <v>12</v>
      </c>
      <c r="G70">
        <v>1800</v>
      </c>
      <c r="H70">
        <f t="shared" si="1"/>
        <v>21600</v>
      </c>
      <c r="I70" t="str">
        <f>TEXT(Table1[[#This Row],[Date]],"ddd")</f>
        <v>Wed</v>
      </c>
    </row>
    <row r="71" spans="1:9" x14ac:dyDescent="0.3">
      <c r="A71">
        <v>70</v>
      </c>
      <c r="B71" t="s">
        <v>12</v>
      </c>
      <c r="C71" t="s">
        <v>15</v>
      </c>
      <c r="D71" s="2">
        <v>45693</v>
      </c>
      <c r="E71" t="s">
        <v>16</v>
      </c>
      <c r="F71">
        <v>8</v>
      </c>
      <c r="G71">
        <v>2300</v>
      </c>
      <c r="H71">
        <f t="shared" si="1"/>
        <v>18400</v>
      </c>
      <c r="I71" t="str">
        <f>TEXT(Table1[[#This Row],[Date]],"ddd")</f>
        <v>Wed</v>
      </c>
    </row>
    <row r="72" spans="1:9" x14ac:dyDescent="0.3">
      <c r="A72">
        <v>71</v>
      </c>
      <c r="B72" t="s">
        <v>12</v>
      </c>
      <c r="C72" t="s">
        <v>15</v>
      </c>
      <c r="D72" s="2">
        <v>45693</v>
      </c>
      <c r="E72" t="s">
        <v>18</v>
      </c>
      <c r="F72">
        <v>11</v>
      </c>
      <c r="G72">
        <v>4000</v>
      </c>
      <c r="H72">
        <f t="shared" si="1"/>
        <v>44000</v>
      </c>
      <c r="I72" t="str">
        <f>TEXT(Table1[[#This Row],[Date]],"ddd")</f>
        <v>Wed</v>
      </c>
    </row>
    <row r="73" spans="1:9" x14ac:dyDescent="0.3">
      <c r="A73">
        <v>72</v>
      </c>
      <c r="B73" t="s">
        <v>12</v>
      </c>
      <c r="C73" t="s">
        <v>15</v>
      </c>
      <c r="D73" s="2">
        <v>45693</v>
      </c>
      <c r="E73" t="s">
        <v>20</v>
      </c>
      <c r="F73">
        <v>16</v>
      </c>
      <c r="G73">
        <v>8000</v>
      </c>
      <c r="H73">
        <f t="shared" si="1"/>
        <v>128000</v>
      </c>
      <c r="I73" t="str">
        <f>TEXT(Table1[[#This Row],[Date]],"ddd")</f>
        <v>Wed</v>
      </c>
    </row>
    <row r="74" spans="1:9" x14ac:dyDescent="0.3">
      <c r="A74">
        <v>73</v>
      </c>
      <c r="B74" t="s">
        <v>8</v>
      </c>
      <c r="C74" t="s">
        <v>14</v>
      </c>
      <c r="D74" s="2">
        <v>45717</v>
      </c>
      <c r="E74" t="s">
        <v>17</v>
      </c>
      <c r="F74">
        <v>5</v>
      </c>
      <c r="G74">
        <v>150</v>
      </c>
      <c r="H74">
        <f t="shared" si="1"/>
        <v>750</v>
      </c>
      <c r="I74" t="str">
        <f>TEXT(Table1[[#This Row],[Date]],"ddd")</f>
        <v>Sat</v>
      </c>
    </row>
    <row r="75" spans="1:9" x14ac:dyDescent="0.3">
      <c r="A75">
        <v>74</v>
      </c>
      <c r="B75" t="s">
        <v>8</v>
      </c>
      <c r="C75" t="s">
        <v>14</v>
      </c>
      <c r="D75" s="2">
        <v>45717</v>
      </c>
      <c r="E75" t="s">
        <v>21</v>
      </c>
      <c r="F75">
        <v>12</v>
      </c>
      <c r="G75">
        <v>350</v>
      </c>
      <c r="H75">
        <f t="shared" si="1"/>
        <v>4200</v>
      </c>
      <c r="I75" t="str">
        <f>TEXT(Table1[[#This Row],[Date]],"ddd")</f>
        <v>Sat</v>
      </c>
    </row>
    <row r="76" spans="1:9" x14ac:dyDescent="0.3">
      <c r="A76">
        <v>75</v>
      </c>
      <c r="B76" t="s">
        <v>8</v>
      </c>
      <c r="C76" t="s">
        <v>14</v>
      </c>
      <c r="D76" s="2">
        <v>45717</v>
      </c>
      <c r="E76" t="s">
        <v>19</v>
      </c>
      <c r="F76">
        <v>14</v>
      </c>
      <c r="G76">
        <v>1800</v>
      </c>
      <c r="H76">
        <f t="shared" si="1"/>
        <v>25200</v>
      </c>
      <c r="I76" t="str">
        <f>TEXT(Table1[[#This Row],[Date]],"ddd")</f>
        <v>Sat</v>
      </c>
    </row>
    <row r="77" spans="1:9" x14ac:dyDescent="0.3">
      <c r="A77">
        <v>76</v>
      </c>
      <c r="B77" t="s">
        <v>8</v>
      </c>
      <c r="C77" t="s">
        <v>14</v>
      </c>
      <c r="D77" s="2">
        <v>45717</v>
      </c>
      <c r="E77" t="s">
        <v>16</v>
      </c>
      <c r="F77">
        <v>8</v>
      </c>
      <c r="G77">
        <v>2300</v>
      </c>
      <c r="H77">
        <f t="shared" si="1"/>
        <v>18400</v>
      </c>
      <c r="I77" t="str">
        <f>TEXT(Table1[[#This Row],[Date]],"ddd")</f>
        <v>Sat</v>
      </c>
    </row>
    <row r="78" spans="1:9" x14ac:dyDescent="0.3">
      <c r="A78">
        <v>77</v>
      </c>
      <c r="B78" t="s">
        <v>8</v>
      </c>
      <c r="C78" t="s">
        <v>14</v>
      </c>
      <c r="D78" s="2">
        <v>45717</v>
      </c>
      <c r="E78" t="s">
        <v>18</v>
      </c>
      <c r="F78">
        <v>16</v>
      </c>
      <c r="G78">
        <v>4000</v>
      </c>
      <c r="H78">
        <f t="shared" si="1"/>
        <v>64000</v>
      </c>
      <c r="I78" t="str">
        <f>TEXT(Table1[[#This Row],[Date]],"ddd")</f>
        <v>Sat</v>
      </c>
    </row>
    <row r="79" spans="1:9" x14ac:dyDescent="0.3">
      <c r="A79">
        <v>78</v>
      </c>
      <c r="B79" t="s">
        <v>8</v>
      </c>
      <c r="C79" t="s">
        <v>14</v>
      </c>
      <c r="D79" s="2">
        <v>45717</v>
      </c>
      <c r="E79" t="s">
        <v>20</v>
      </c>
      <c r="F79">
        <v>15</v>
      </c>
      <c r="G79">
        <v>8000</v>
      </c>
      <c r="H79">
        <f t="shared" si="1"/>
        <v>120000</v>
      </c>
      <c r="I79" t="str">
        <f>TEXT(Table1[[#This Row],[Date]],"ddd")</f>
        <v>Sat</v>
      </c>
    </row>
    <row r="80" spans="1:9" x14ac:dyDescent="0.3">
      <c r="A80">
        <v>79</v>
      </c>
      <c r="B80" t="s">
        <v>9</v>
      </c>
      <c r="C80" t="s">
        <v>13</v>
      </c>
      <c r="D80" s="2">
        <v>45718</v>
      </c>
      <c r="E80" t="s">
        <v>17</v>
      </c>
      <c r="F80">
        <v>4</v>
      </c>
      <c r="G80">
        <v>150</v>
      </c>
      <c r="H80">
        <f t="shared" si="1"/>
        <v>600</v>
      </c>
      <c r="I80" t="str">
        <f>TEXT(Table1[[#This Row],[Date]],"ddd")</f>
        <v>Sun</v>
      </c>
    </row>
    <row r="81" spans="1:9" x14ac:dyDescent="0.3">
      <c r="A81">
        <v>80</v>
      </c>
      <c r="B81" t="s">
        <v>7</v>
      </c>
      <c r="C81" t="s">
        <v>13</v>
      </c>
      <c r="D81" s="2">
        <v>45718</v>
      </c>
      <c r="E81" t="s">
        <v>17</v>
      </c>
      <c r="F81">
        <v>4</v>
      </c>
      <c r="G81">
        <v>150</v>
      </c>
      <c r="H81">
        <f t="shared" si="1"/>
        <v>600</v>
      </c>
      <c r="I81" t="str">
        <f>TEXT(Table1[[#This Row],[Date]],"ddd")</f>
        <v>Sun</v>
      </c>
    </row>
    <row r="82" spans="1:9" x14ac:dyDescent="0.3">
      <c r="A82">
        <v>81</v>
      </c>
      <c r="B82" t="s">
        <v>9</v>
      </c>
      <c r="C82" t="s">
        <v>13</v>
      </c>
      <c r="D82" s="2">
        <v>45718</v>
      </c>
      <c r="E82" t="s">
        <v>21</v>
      </c>
      <c r="F82">
        <v>12</v>
      </c>
      <c r="G82">
        <v>350</v>
      </c>
      <c r="H82">
        <f t="shared" si="1"/>
        <v>4200</v>
      </c>
      <c r="I82" t="str">
        <f>TEXT(Table1[[#This Row],[Date]],"ddd")</f>
        <v>Sun</v>
      </c>
    </row>
    <row r="83" spans="1:9" x14ac:dyDescent="0.3">
      <c r="A83">
        <v>82</v>
      </c>
      <c r="B83" t="s">
        <v>7</v>
      </c>
      <c r="C83" t="s">
        <v>13</v>
      </c>
      <c r="D83" s="2">
        <v>45718</v>
      </c>
      <c r="E83" t="s">
        <v>21</v>
      </c>
      <c r="F83">
        <v>4</v>
      </c>
      <c r="G83">
        <v>350</v>
      </c>
      <c r="H83">
        <f t="shared" si="1"/>
        <v>1400</v>
      </c>
      <c r="I83" t="str">
        <f>TEXT(Table1[[#This Row],[Date]],"ddd")</f>
        <v>Sun</v>
      </c>
    </row>
    <row r="84" spans="1:9" x14ac:dyDescent="0.3">
      <c r="A84">
        <v>83</v>
      </c>
      <c r="B84" t="s">
        <v>9</v>
      </c>
      <c r="C84" t="s">
        <v>13</v>
      </c>
      <c r="D84" s="2">
        <v>45718</v>
      </c>
      <c r="E84" t="s">
        <v>19</v>
      </c>
      <c r="F84">
        <v>5</v>
      </c>
      <c r="G84">
        <v>1800</v>
      </c>
      <c r="H84">
        <f t="shared" si="1"/>
        <v>9000</v>
      </c>
      <c r="I84" t="str">
        <f>TEXT(Table1[[#This Row],[Date]],"ddd")</f>
        <v>Sun</v>
      </c>
    </row>
    <row r="85" spans="1:9" x14ac:dyDescent="0.3">
      <c r="A85">
        <v>84</v>
      </c>
      <c r="B85" t="s">
        <v>7</v>
      </c>
      <c r="C85" t="s">
        <v>13</v>
      </c>
      <c r="D85" s="2">
        <v>45718</v>
      </c>
      <c r="E85" t="s">
        <v>19</v>
      </c>
      <c r="F85">
        <v>5</v>
      </c>
      <c r="G85">
        <v>1800</v>
      </c>
      <c r="H85">
        <f t="shared" si="1"/>
        <v>9000</v>
      </c>
      <c r="I85" t="str">
        <f>TEXT(Table1[[#This Row],[Date]],"ddd")</f>
        <v>Sun</v>
      </c>
    </row>
    <row r="86" spans="1:9" x14ac:dyDescent="0.3">
      <c r="A86">
        <v>85</v>
      </c>
      <c r="B86" t="s">
        <v>9</v>
      </c>
      <c r="C86" t="s">
        <v>13</v>
      </c>
      <c r="D86" s="2">
        <v>45718</v>
      </c>
      <c r="E86" t="s">
        <v>16</v>
      </c>
      <c r="F86">
        <v>15</v>
      </c>
      <c r="G86">
        <v>2300</v>
      </c>
      <c r="H86">
        <f t="shared" si="1"/>
        <v>34500</v>
      </c>
      <c r="I86" t="str">
        <f>TEXT(Table1[[#This Row],[Date]],"ddd")</f>
        <v>Sun</v>
      </c>
    </row>
    <row r="87" spans="1:9" x14ac:dyDescent="0.3">
      <c r="A87">
        <v>86</v>
      </c>
      <c r="B87" t="s">
        <v>7</v>
      </c>
      <c r="C87" t="s">
        <v>13</v>
      </c>
      <c r="D87" s="2">
        <v>45718</v>
      </c>
      <c r="E87" t="s">
        <v>16</v>
      </c>
      <c r="F87">
        <v>11</v>
      </c>
      <c r="G87">
        <v>2300</v>
      </c>
      <c r="H87">
        <f t="shared" si="1"/>
        <v>25300</v>
      </c>
      <c r="I87" t="str">
        <f>TEXT(Table1[[#This Row],[Date]],"ddd")</f>
        <v>Sun</v>
      </c>
    </row>
    <row r="88" spans="1:9" x14ac:dyDescent="0.3">
      <c r="A88">
        <v>87</v>
      </c>
      <c r="B88" t="s">
        <v>9</v>
      </c>
      <c r="C88" t="s">
        <v>13</v>
      </c>
      <c r="D88" s="2">
        <v>45718</v>
      </c>
      <c r="E88" t="s">
        <v>18</v>
      </c>
      <c r="F88">
        <v>8</v>
      </c>
      <c r="G88">
        <v>4000</v>
      </c>
      <c r="H88">
        <f t="shared" si="1"/>
        <v>32000</v>
      </c>
      <c r="I88" t="str">
        <f>TEXT(Table1[[#This Row],[Date]],"ddd")</f>
        <v>Sun</v>
      </c>
    </row>
    <row r="89" spans="1:9" x14ac:dyDescent="0.3">
      <c r="A89">
        <v>88</v>
      </c>
      <c r="B89" t="s">
        <v>7</v>
      </c>
      <c r="C89" t="s">
        <v>13</v>
      </c>
      <c r="D89" s="2">
        <v>45718</v>
      </c>
      <c r="E89" t="s">
        <v>18</v>
      </c>
      <c r="F89">
        <v>15</v>
      </c>
      <c r="G89">
        <v>4000</v>
      </c>
      <c r="H89">
        <f t="shared" si="1"/>
        <v>60000</v>
      </c>
      <c r="I89" t="str">
        <f>TEXT(Table1[[#This Row],[Date]],"ddd")</f>
        <v>Sun</v>
      </c>
    </row>
    <row r="90" spans="1:9" x14ac:dyDescent="0.3">
      <c r="A90">
        <v>89</v>
      </c>
      <c r="B90" t="s">
        <v>7</v>
      </c>
      <c r="C90" t="s">
        <v>13</v>
      </c>
      <c r="D90" s="2">
        <v>45718</v>
      </c>
      <c r="E90" t="s">
        <v>20</v>
      </c>
      <c r="F90">
        <v>6</v>
      </c>
      <c r="G90">
        <v>8000</v>
      </c>
      <c r="H90">
        <f t="shared" si="1"/>
        <v>48000</v>
      </c>
      <c r="I90" t="str">
        <f>TEXT(Table1[[#This Row],[Date]],"ddd")</f>
        <v>Sun</v>
      </c>
    </row>
    <row r="91" spans="1:9" x14ac:dyDescent="0.3">
      <c r="A91">
        <v>90</v>
      </c>
      <c r="B91" t="s">
        <v>9</v>
      </c>
      <c r="C91" t="s">
        <v>13</v>
      </c>
      <c r="D91" s="2">
        <v>45718</v>
      </c>
      <c r="E91" t="s">
        <v>20</v>
      </c>
      <c r="F91">
        <v>8</v>
      </c>
      <c r="G91">
        <v>8000</v>
      </c>
      <c r="H91">
        <f t="shared" si="1"/>
        <v>64000</v>
      </c>
      <c r="I91" t="str">
        <f>TEXT(Table1[[#This Row],[Date]],"ddd")</f>
        <v>Sun</v>
      </c>
    </row>
    <row r="92" spans="1:9" x14ac:dyDescent="0.3">
      <c r="A92">
        <v>91</v>
      </c>
      <c r="B92" t="s">
        <v>11</v>
      </c>
      <c r="C92" t="s">
        <v>15</v>
      </c>
      <c r="D92" s="2">
        <v>45719</v>
      </c>
      <c r="E92" t="s">
        <v>17</v>
      </c>
      <c r="F92">
        <v>5</v>
      </c>
      <c r="G92">
        <v>150</v>
      </c>
      <c r="H92">
        <f t="shared" si="1"/>
        <v>750</v>
      </c>
      <c r="I92" t="str">
        <f>TEXT(Table1[[#This Row],[Date]],"ddd")</f>
        <v>Mon</v>
      </c>
    </row>
    <row r="93" spans="1:9" x14ac:dyDescent="0.3">
      <c r="A93">
        <v>92</v>
      </c>
      <c r="B93" t="s">
        <v>11</v>
      </c>
      <c r="C93" t="s">
        <v>15</v>
      </c>
      <c r="D93" s="2">
        <v>45719</v>
      </c>
      <c r="E93" t="s">
        <v>21</v>
      </c>
      <c r="F93">
        <v>6</v>
      </c>
      <c r="G93">
        <v>350</v>
      </c>
      <c r="H93">
        <f t="shared" si="1"/>
        <v>2100</v>
      </c>
      <c r="I93" t="str">
        <f>TEXT(Table1[[#This Row],[Date]],"ddd")</f>
        <v>Mon</v>
      </c>
    </row>
    <row r="94" spans="1:9" x14ac:dyDescent="0.3">
      <c r="A94">
        <v>93</v>
      </c>
      <c r="B94" t="s">
        <v>11</v>
      </c>
      <c r="C94" t="s">
        <v>15</v>
      </c>
      <c r="D94" s="2">
        <v>45719</v>
      </c>
      <c r="E94" t="s">
        <v>19</v>
      </c>
      <c r="F94">
        <v>12</v>
      </c>
      <c r="G94">
        <v>1800</v>
      </c>
      <c r="H94">
        <f t="shared" si="1"/>
        <v>21600</v>
      </c>
      <c r="I94" t="str">
        <f>TEXT(Table1[[#This Row],[Date]],"ddd")</f>
        <v>Mon</v>
      </c>
    </row>
    <row r="95" spans="1:9" x14ac:dyDescent="0.3">
      <c r="A95">
        <v>94</v>
      </c>
      <c r="B95" t="s">
        <v>11</v>
      </c>
      <c r="C95" t="s">
        <v>15</v>
      </c>
      <c r="D95" s="2">
        <v>45719</v>
      </c>
      <c r="E95" t="s">
        <v>16</v>
      </c>
      <c r="F95">
        <v>6</v>
      </c>
      <c r="G95">
        <v>2300</v>
      </c>
      <c r="H95">
        <f t="shared" si="1"/>
        <v>13800</v>
      </c>
      <c r="I95" t="str">
        <f>TEXT(Table1[[#This Row],[Date]],"ddd")</f>
        <v>Mon</v>
      </c>
    </row>
    <row r="96" spans="1:9" x14ac:dyDescent="0.3">
      <c r="A96">
        <v>95</v>
      </c>
      <c r="B96" t="s">
        <v>11</v>
      </c>
      <c r="C96" t="s">
        <v>15</v>
      </c>
      <c r="D96" s="2">
        <v>45719</v>
      </c>
      <c r="E96" t="s">
        <v>18</v>
      </c>
      <c r="F96">
        <v>8</v>
      </c>
      <c r="G96">
        <v>4000</v>
      </c>
      <c r="H96">
        <f t="shared" si="1"/>
        <v>32000</v>
      </c>
      <c r="I96" t="str">
        <f>TEXT(Table1[[#This Row],[Date]],"ddd")</f>
        <v>Mon</v>
      </c>
    </row>
    <row r="97" spans="1:9" x14ac:dyDescent="0.3">
      <c r="A97">
        <v>96</v>
      </c>
      <c r="B97" t="s">
        <v>11</v>
      </c>
      <c r="C97" t="s">
        <v>15</v>
      </c>
      <c r="D97" s="2">
        <v>45719</v>
      </c>
      <c r="E97" t="s">
        <v>20</v>
      </c>
      <c r="F97">
        <v>15</v>
      </c>
      <c r="G97">
        <v>8000</v>
      </c>
      <c r="H97">
        <f t="shared" si="1"/>
        <v>120000</v>
      </c>
      <c r="I97" t="str">
        <f>TEXT(Table1[[#This Row],[Date]],"ddd")</f>
        <v>Mon</v>
      </c>
    </row>
    <row r="98" spans="1:9" x14ac:dyDescent="0.3">
      <c r="A98">
        <v>97</v>
      </c>
      <c r="B98" t="s">
        <v>10</v>
      </c>
      <c r="C98" t="s">
        <v>14</v>
      </c>
      <c r="D98" s="2">
        <v>45720</v>
      </c>
      <c r="E98" t="s">
        <v>17</v>
      </c>
      <c r="F98">
        <v>10</v>
      </c>
      <c r="G98">
        <v>150</v>
      </c>
      <c r="H98">
        <f t="shared" si="1"/>
        <v>1500</v>
      </c>
      <c r="I98" t="str">
        <f>TEXT(Table1[[#This Row],[Date]],"ddd")</f>
        <v>Tue</v>
      </c>
    </row>
    <row r="99" spans="1:9" x14ac:dyDescent="0.3">
      <c r="A99">
        <v>98</v>
      </c>
      <c r="B99" t="s">
        <v>10</v>
      </c>
      <c r="C99" t="s">
        <v>14</v>
      </c>
      <c r="D99" s="2">
        <v>45720</v>
      </c>
      <c r="E99" t="s">
        <v>21</v>
      </c>
      <c r="F99">
        <v>9</v>
      </c>
      <c r="G99">
        <v>350</v>
      </c>
      <c r="H99">
        <f t="shared" si="1"/>
        <v>3150</v>
      </c>
      <c r="I99" t="str">
        <f>TEXT(Table1[[#This Row],[Date]],"ddd")</f>
        <v>Tue</v>
      </c>
    </row>
    <row r="100" spans="1:9" x14ac:dyDescent="0.3">
      <c r="A100">
        <v>99</v>
      </c>
      <c r="B100" t="s">
        <v>10</v>
      </c>
      <c r="C100" t="s">
        <v>14</v>
      </c>
      <c r="D100" s="2">
        <v>45720</v>
      </c>
      <c r="E100" t="s">
        <v>19</v>
      </c>
      <c r="F100">
        <v>9</v>
      </c>
      <c r="G100">
        <v>1800</v>
      </c>
      <c r="H100">
        <f t="shared" si="1"/>
        <v>16200</v>
      </c>
      <c r="I100" t="str">
        <f>TEXT(Table1[[#This Row],[Date]],"ddd")</f>
        <v>Tue</v>
      </c>
    </row>
    <row r="101" spans="1:9" x14ac:dyDescent="0.3">
      <c r="A101">
        <v>100</v>
      </c>
      <c r="B101" t="s">
        <v>10</v>
      </c>
      <c r="C101" t="s">
        <v>14</v>
      </c>
      <c r="D101" s="2">
        <v>45720</v>
      </c>
      <c r="E101" t="s">
        <v>16</v>
      </c>
      <c r="F101">
        <v>16</v>
      </c>
      <c r="G101">
        <v>2300</v>
      </c>
      <c r="H101">
        <f t="shared" si="1"/>
        <v>36800</v>
      </c>
      <c r="I101" t="str">
        <f>TEXT(Table1[[#This Row],[Date]],"ddd")</f>
        <v>Tue</v>
      </c>
    </row>
    <row r="102" spans="1:9" x14ac:dyDescent="0.3">
      <c r="A102">
        <v>101</v>
      </c>
      <c r="B102" t="s">
        <v>10</v>
      </c>
      <c r="C102" t="s">
        <v>14</v>
      </c>
      <c r="D102" s="2">
        <v>45720</v>
      </c>
      <c r="E102" t="s">
        <v>18</v>
      </c>
      <c r="F102">
        <v>11</v>
      </c>
      <c r="G102">
        <v>4000</v>
      </c>
      <c r="H102">
        <f t="shared" si="1"/>
        <v>44000</v>
      </c>
      <c r="I102" t="str">
        <f>TEXT(Table1[[#This Row],[Date]],"ddd")</f>
        <v>Tue</v>
      </c>
    </row>
    <row r="103" spans="1:9" x14ac:dyDescent="0.3">
      <c r="A103">
        <v>102</v>
      </c>
      <c r="B103" t="s">
        <v>10</v>
      </c>
      <c r="C103" t="s">
        <v>14</v>
      </c>
      <c r="D103" s="2">
        <v>45720</v>
      </c>
      <c r="E103" t="s">
        <v>20</v>
      </c>
      <c r="F103">
        <v>8</v>
      </c>
      <c r="G103">
        <v>8000</v>
      </c>
      <c r="H103">
        <f t="shared" si="1"/>
        <v>64000</v>
      </c>
      <c r="I103" t="str">
        <f>TEXT(Table1[[#This Row],[Date]],"ddd")</f>
        <v>Tue</v>
      </c>
    </row>
    <row r="104" spans="1:9" x14ac:dyDescent="0.3">
      <c r="A104">
        <v>103</v>
      </c>
      <c r="B104" t="s">
        <v>12</v>
      </c>
      <c r="C104" t="s">
        <v>15</v>
      </c>
      <c r="D104" s="2">
        <v>45721</v>
      </c>
      <c r="E104" t="s">
        <v>17</v>
      </c>
      <c r="F104">
        <v>11</v>
      </c>
      <c r="G104">
        <v>150</v>
      </c>
      <c r="H104">
        <f t="shared" si="1"/>
        <v>1650</v>
      </c>
      <c r="I104" t="str">
        <f>TEXT(Table1[[#This Row],[Date]],"ddd")</f>
        <v>Wed</v>
      </c>
    </row>
    <row r="105" spans="1:9" x14ac:dyDescent="0.3">
      <c r="A105">
        <v>104</v>
      </c>
      <c r="B105" t="s">
        <v>12</v>
      </c>
      <c r="C105" t="s">
        <v>15</v>
      </c>
      <c r="D105" s="2">
        <v>45721</v>
      </c>
      <c r="E105" t="s">
        <v>21</v>
      </c>
      <c r="F105">
        <v>4</v>
      </c>
      <c r="G105">
        <v>350</v>
      </c>
      <c r="H105">
        <f t="shared" si="1"/>
        <v>1400</v>
      </c>
      <c r="I105" t="str">
        <f>TEXT(Table1[[#This Row],[Date]],"ddd")</f>
        <v>Wed</v>
      </c>
    </row>
    <row r="106" spans="1:9" x14ac:dyDescent="0.3">
      <c r="A106">
        <v>105</v>
      </c>
      <c r="B106" t="s">
        <v>12</v>
      </c>
      <c r="C106" t="s">
        <v>15</v>
      </c>
      <c r="D106" s="2">
        <v>45721</v>
      </c>
      <c r="E106" t="s">
        <v>19</v>
      </c>
      <c r="F106">
        <v>15</v>
      </c>
      <c r="G106">
        <v>1800</v>
      </c>
      <c r="H106">
        <f t="shared" si="1"/>
        <v>27000</v>
      </c>
      <c r="I106" t="str">
        <f>TEXT(Table1[[#This Row],[Date]],"ddd")</f>
        <v>Wed</v>
      </c>
    </row>
    <row r="107" spans="1:9" x14ac:dyDescent="0.3">
      <c r="A107">
        <v>106</v>
      </c>
      <c r="B107" t="s">
        <v>12</v>
      </c>
      <c r="C107" t="s">
        <v>15</v>
      </c>
      <c r="D107" s="2">
        <v>45721</v>
      </c>
      <c r="E107" t="s">
        <v>16</v>
      </c>
      <c r="F107">
        <v>11</v>
      </c>
      <c r="G107">
        <v>2300</v>
      </c>
      <c r="H107">
        <f t="shared" si="1"/>
        <v>25300</v>
      </c>
      <c r="I107" t="str">
        <f>TEXT(Table1[[#This Row],[Date]],"ddd")</f>
        <v>Wed</v>
      </c>
    </row>
    <row r="108" spans="1:9" x14ac:dyDescent="0.3">
      <c r="A108">
        <v>107</v>
      </c>
      <c r="B108" t="s">
        <v>12</v>
      </c>
      <c r="C108" t="s">
        <v>15</v>
      </c>
      <c r="D108" s="2">
        <v>45721</v>
      </c>
      <c r="E108" t="s">
        <v>18</v>
      </c>
      <c r="F108">
        <v>14</v>
      </c>
      <c r="G108">
        <v>4000</v>
      </c>
      <c r="H108">
        <f t="shared" si="1"/>
        <v>56000</v>
      </c>
      <c r="I108" t="str">
        <f>TEXT(Table1[[#This Row],[Date]],"ddd")</f>
        <v>Wed</v>
      </c>
    </row>
    <row r="109" spans="1:9" x14ac:dyDescent="0.3">
      <c r="A109">
        <v>108</v>
      </c>
      <c r="B109" t="s">
        <v>12</v>
      </c>
      <c r="C109" t="s">
        <v>15</v>
      </c>
      <c r="D109" s="2">
        <v>45721</v>
      </c>
      <c r="E109" t="s">
        <v>20</v>
      </c>
      <c r="F109">
        <v>15</v>
      </c>
      <c r="G109">
        <v>8000</v>
      </c>
      <c r="H109">
        <f t="shared" si="1"/>
        <v>120000</v>
      </c>
      <c r="I109" t="str">
        <f>TEXT(Table1[[#This Row],[Date]],"ddd")</f>
        <v>Wed</v>
      </c>
    </row>
    <row r="110" spans="1:9" x14ac:dyDescent="0.3">
      <c r="A110">
        <v>109</v>
      </c>
      <c r="B110" t="s">
        <v>8</v>
      </c>
      <c r="C110" t="s">
        <v>14</v>
      </c>
      <c r="D110" s="2">
        <v>45748</v>
      </c>
      <c r="E110" t="s">
        <v>17</v>
      </c>
      <c r="F110">
        <v>4</v>
      </c>
      <c r="G110">
        <v>150</v>
      </c>
      <c r="H110">
        <f t="shared" si="1"/>
        <v>600</v>
      </c>
      <c r="I110" t="str">
        <f>TEXT(Table1[[#This Row],[Date]],"ddd")</f>
        <v>Tue</v>
      </c>
    </row>
    <row r="111" spans="1:9" x14ac:dyDescent="0.3">
      <c r="A111">
        <v>110</v>
      </c>
      <c r="B111" t="s">
        <v>8</v>
      </c>
      <c r="C111" t="s">
        <v>14</v>
      </c>
      <c r="D111" s="2">
        <v>45748</v>
      </c>
      <c r="E111" t="s">
        <v>21</v>
      </c>
      <c r="F111">
        <v>7</v>
      </c>
      <c r="G111">
        <v>350</v>
      </c>
      <c r="H111">
        <f t="shared" si="1"/>
        <v>2450</v>
      </c>
      <c r="I111" t="str">
        <f>TEXT(Table1[[#This Row],[Date]],"ddd")</f>
        <v>Tue</v>
      </c>
    </row>
    <row r="112" spans="1:9" x14ac:dyDescent="0.3">
      <c r="A112">
        <v>111</v>
      </c>
      <c r="B112" t="s">
        <v>8</v>
      </c>
      <c r="C112" t="s">
        <v>14</v>
      </c>
      <c r="D112" s="2">
        <v>45748</v>
      </c>
      <c r="E112" t="s">
        <v>19</v>
      </c>
      <c r="F112">
        <v>12</v>
      </c>
      <c r="G112">
        <v>1800</v>
      </c>
      <c r="H112">
        <f t="shared" si="1"/>
        <v>21600</v>
      </c>
      <c r="I112" t="str">
        <f>TEXT(Table1[[#This Row],[Date]],"ddd")</f>
        <v>Tue</v>
      </c>
    </row>
    <row r="113" spans="1:9" x14ac:dyDescent="0.3">
      <c r="A113">
        <v>112</v>
      </c>
      <c r="B113" t="s">
        <v>8</v>
      </c>
      <c r="C113" t="s">
        <v>14</v>
      </c>
      <c r="D113" s="2">
        <v>45748</v>
      </c>
      <c r="E113" t="s">
        <v>16</v>
      </c>
      <c r="F113">
        <v>15</v>
      </c>
      <c r="G113">
        <v>2300</v>
      </c>
      <c r="H113">
        <f t="shared" si="1"/>
        <v>34500</v>
      </c>
      <c r="I113" t="str">
        <f>TEXT(Table1[[#This Row],[Date]],"ddd")</f>
        <v>Tue</v>
      </c>
    </row>
    <row r="114" spans="1:9" x14ac:dyDescent="0.3">
      <c r="A114">
        <v>113</v>
      </c>
      <c r="B114" t="s">
        <v>8</v>
      </c>
      <c r="C114" t="s">
        <v>14</v>
      </c>
      <c r="D114" s="2">
        <v>45748</v>
      </c>
      <c r="E114" t="s">
        <v>18</v>
      </c>
      <c r="F114">
        <v>12</v>
      </c>
      <c r="G114">
        <v>4000</v>
      </c>
      <c r="H114">
        <f t="shared" si="1"/>
        <v>48000</v>
      </c>
      <c r="I114" t="str">
        <f>TEXT(Table1[[#This Row],[Date]],"ddd")</f>
        <v>Tue</v>
      </c>
    </row>
    <row r="115" spans="1:9" x14ac:dyDescent="0.3">
      <c r="A115">
        <v>114</v>
      </c>
      <c r="B115" t="s">
        <v>8</v>
      </c>
      <c r="C115" t="s">
        <v>14</v>
      </c>
      <c r="D115" s="2">
        <v>45748</v>
      </c>
      <c r="E115" t="s">
        <v>20</v>
      </c>
      <c r="F115">
        <v>10</v>
      </c>
      <c r="G115">
        <v>8000</v>
      </c>
      <c r="H115">
        <f t="shared" si="1"/>
        <v>80000</v>
      </c>
      <c r="I115" t="str">
        <f>TEXT(Table1[[#This Row],[Date]],"ddd")</f>
        <v>Tue</v>
      </c>
    </row>
    <row r="116" spans="1:9" x14ac:dyDescent="0.3">
      <c r="A116">
        <v>115</v>
      </c>
      <c r="B116" t="s">
        <v>9</v>
      </c>
      <c r="C116" t="s">
        <v>13</v>
      </c>
      <c r="D116" s="2">
        <v>45749</v>
      </c>
      <c r="E116" t="s">
        <v>17</v>
      </c>
      <c r="F116">
        <v>14</v>
      </c>
      <c r="G116">
        <v>150</v>
      </c>
      <c r="H116">
        <f t="shared" si="1"/>
        <v>2100</v>
      </c>
      <c r="I116" t="str">
        <f>TEXT(Table1[[#This Row],[Date]],"ddd")</f>
        <v>Wed</v>
      </c>
    </row>
    <row r="117" spans="1:9" x14ac:dyDescent="0.3">
      <c r="A117">
        <v>116</v>
      </c>
      <c r="B117" t="s">
        <v>7</v>
      </c>
      <c r="C117" t="s">
        <v>13</v>
      </c>
      <c r="D117" s="2">
        <v>45749</v>
      </c>
      <c r="E117" t="s">
        <v>17</v>
      </c>
      <c r="F117">
        <v>11</v>
      </c>
      <c r="G117">
        <v>150</v>
      </c>
      <c r="H117">
        <f t="shared" si="1"/>
        <v>1650</v>
      </c>
      <c r="I117" t="str">
        <f>TEXT(Table1[[#This Row],[Date]],"ddd")</f>
        <v>Wed</v>
      </c>
    </row>
    <row r="118" spans="1:9" x14ac:dyDescent="0.3">
      <c r="A118">
        <v>117</v>
      </c>
      <c r="B118" t="s">
        <v>9</v>
      </c>
      <c r="C118" t="s">
        <v>13</v>
      </c>
      <c r="D118" s="2">
        <v>45749</v>
      </c>
      <c r="E118" t="s">
        <v>21</v>
      </c>
      <c r="F118">
        <v>9</v>
      </c>
      <c r="G118">
        <v>350</v>
      </c>
      <c r="H118">
        <f t="shared" si="1"/>
        <v>3150</v>
      </c>
      <c r="I118" t="str">
        <f>TEXT(Table1[[#This Row],[Date]],"ddd")</f>
        <v>Wed</v>
      </c>
    </row>
    <row r="119" spans="1:9" x14ac:dyDescent="0.3">
      <c r="A119">
        <v>118</v>
      </c>
      <c r="B119" t="s">
        <v>7</v>
      </c>
      <c r="C119" t="s">
        <v>13</v>
      </c>
      <c r="D119" s="2">
        <v>45749</v>
      </c>
      <c r="E119" t="s">
        <v>21</v>
      </c>
      <c r="F119">
        <v>4</v>
      </c>
      <c r="G119">
        <v>350</v>
      </c>
      <c r="H119">
        <f t="shared" si="1"/>
        <v>1400</v>
      </c>
      <c r="I119" t="str">
        <f>TEXT(Table1[[#This Row],[Date]],"ddd")</f>
        <v>Wed</v>
      </c>
    </row>
    <row r="120" spans="1:9" x14ac:dyDescent="0.3">
      <c r="A120">
        <v>119</v>
      </c>
      <c r="B120" t="s">
        <v>9</v>
      </c>
      <c r="C120" t="s">
        <v>13</v>
      </c>
      <c r="D120" s="2">
        <v>45749</v>
      </c>
      <c r="E120" t="s">
        <v>19</v>
      </c>
      <c r="F120">
        <v>15</v>
      </c>
      <c r="G120">
        <v>1800</v>
      </c>
      <c r="H120">
        <f t="shared" si="1"/>
        <v>27000</v>
      </c>
      <c r="I120" t="str">
        <f>TEXT(Table1[[#This Row],[Date]],"ddd")</f>
        <v>Wed</v>
      </c>
    </row>
    <row r="121" spans="1:9" x14ac:dyDescent="0.3">
      <c r="A121">
        <v>120</v>
      </c>
      <c r="B121" t="s">
        <v>7</v>
      </c>
      <c r="C121" t="s">
        <v>13</v>
      </c>
      <c r="D121" s="2">
        <v>45749</v>
      </c>
      <c r="E121" t="s">
        <v>19</v>
      </c>
      <c r="F121">
        <v>16</v>
      </c>
      <c r="G121">
        <v>1800</v>
      </c>
      <c r="H121">
        <f t="shared" si="1"/>
        <v>28800</v>
      </c>
      <c r="I121" t="str">
        <f>TEXT(Table1[[#This Row],[Date]],"ddd")</f>
        <v>Wed</v>
      </c>
    </row>
    <row r="122" spans="1:9" x14ac:dyDescent="0.3">
      <c r="A122">
        <v>121</v>
      </c>
      <c r="B122" t="s">
        <v>9</v>
      </c>
      <c r="C122" t="s">
        <v>13</v>
      </c>
      <c r="D122" s="2">
        <v>45749</v>
      </c>
      <c r="E122" t="s">
        <v>16</v>
      </c>
      <c r="F122">
        <v>14</v>
      </c>
      <c r="G122">
        <v>2300</v>
      </c>
      <c r="H122">
        <f t="shared" si="1"/>
        <v>32200</v>
      </c>
      <c r="I122" t="str">
        <f>TEXT(Table1[[#This Row],[Date]],"ddd")</f>
        <v>Wed</v>
      </c>
    </row>
    <row r="123" spans="1:9" x14ac:dyDescent="0.3">
      <c r="A123">
        <v>122</v>
      </c>
      <c r="B123" t="s">
        <v>7</v>
      </c>
      <c r="C123" t="s">
        <v>13</v>
      </c>
      <c r="D123" s="2">
        <v>45749</v>
      </c>
      <c r="E123" t="s">
        <v>16</v>
      </c>
      <c r="F123">
        <v>14</v>
      </c>
      <c r="G123">
        <v>2300</v>
      </c>
      <c r="H123">
        <f t="shared" si="1"/>
        <v>32200</v>
      </c>
      <c r="I123" t="str">
        <f>TEXT(Table1[[#This Row],[Date]],"ddd")</f>
        <v>Wed</v>
      </c>
    </row>
    <row r="124" spans="1:9" x14ac:dyDescent="0.3">
      <c r="A124">
        <v>123</v>
      </c>
      <c r="B124" t="s">
        <v>9</v>
      </c>
      <c r="C124" t="s">
        <v>13</v>
      </c>
      <c r="D124" s="2">
        <v>45749</v>
      </c>
      <c r="E124" t="s">
        <v>18</v>
      </c>
      <c r="F124">
        <v>9</v>
      </c>
      <c r="G124">
        <v>4000</v>
      </c>
      <c r="H124">
        <f t="shared" si="1"/>
        <v>36000</v>
      </c>
      <c r="I124" t="str">
        <f>TEXT(Table1[[#This Row],[Date]],"ddd")</f>
        <v>Wed</v>
      </c>
    </row>
    <row r="125" spans="1:9" x14ac:dyDescent="0.3">
      <c r="A125">
        <v>124</v>
      </c>
      <c r="B125" t="s">
        <v>7</v>
      </c>
      <c r="C125" t="s">
        <v>13</v>
      </c>
      <c r="D125" s="2">
        <v>45749</v>
      </c>
      <c r="E125" t="s">
        <v>18</v>
      </c>
      <c r="F125">
        <v>5</v>
      </c>
      <c r="G125">
        <v>4000</v>
      </c>
      <c r="H125">
        <f t="shared" si="1"/>
        <v>20000</v>
      </c>
      <c r="I125" t="str">
        <f>TEXT(Table1[[#This Row],[Date]],"ddd")</f>
        <v>Wed</v>
      </c>
    </row>
    <row r="126" spans="1:9" x14ac:dyDescent="0.3">
      <c r="A126">
        <v>125</v>
      </c>
      <c r="B126" t="s">
        <v>7</v>
      </c>
      <c r="C126" t="s">
        <v>13</v>
      </c>
      <c r="D126" s="2">
        <v>45749</v>
      </c>
      <c r="E126" t="s">
        <v>20</v>
      </c>
      <c r="F126">
        <v>15</v>
      </c>
      <c r="G126">
        <v>8000</v>
      </c>
      <c r="H126">
        <f t="shared" si="1"/>
        <v>120000</v>
      </c>
      <c r="I126" t="str">
        <f>TEXT(Table1[[#This Row],[Date]],"ddd")</f>
        <v>Wed</v>
      </c>
    </row>
    <row r="127" spans="1:9" x14ac:dyDescent="0.3">
      <c r="A127">
        <v>126</v>
      </c>
      <c r="B127" t="s">
        <v>9</v>
      </c>
      <c r="C127" t="s">
        <v>13</v>
      </c>
      <c r="D127" s="2">
        <v>45749</v>
      </c>
      <c r="E127" t="s">
        <v>20</v>
      </c>
      <c r="F127">
        <v>4</v>
      </c>
      <c r="G127">
        <v>8000</v>
      </c>
      <c r="H127">
        <f t="shared" si="1"/>
        <v>32000</v>
      </c>
      <c r="I127" t="str">
        <f>TEXT(Table1[[#This Row],[Date]],"ddd")</f>
        <v>Wed</v>
      </c>
    </row>
    <row r="128" spans="1:9" x14ac:dyDescent="0.3">
      <c r="A128">
        <v>127</v>
      </c>
      <c r="B128" t="s">
        <v>11</v>
      </c>
      <c r="C128" t="s">
        <v>15</v>
      </c>
      <c r="D128" s="2">
        <v>45750</v>
      </c>
      <c r="E128" t="s">
        <v>17</v>
      </c>
      <c r="F128">
        <v>9</v>
      </c>
      <c r="G128">
        <v>150</v>
      </c>
      <c r="H128">
        <f t="shared" si="1"/>
        <v>1350</v>
      </c>
      <c r="I128" t="str">
        <f>TEXT(Table1[[#This Row],[Date]],"ddd")</f>
        <v>Thu</v>
      </c>
    </row>
    <row r="129" spans="1:9" x14ac:dyDescent="0.3">
      <c r="A129">
        <v>128</v>
      </c>
      <c r="B129" t="s">
        <v>11</v>
      </c>
      <c r="C129" t="s">
        <v>15</v>
      </c>
      <c r="D129" s="2">
        <v>45750</v>
      </c>
      <c r="E129" t="s">
        <v>21</v>
      </c>
      <c r="F129">
        <v>8</v>
      </c>
      <c r="G129">
        <v>350</v>
      </c>
      <c r="H129">
        <f t="shared" si="1"/>
        <v>2800</v>
      </c>
      <c r="I129" t="str">
        <f>TEXT(Table1[[#This Row],[Date]],"ddd")</f>
        <v>Thu</v>
      </c>
    </row>
    <row r="130" spans="1:9" x14ac:dyDescent="0.3">
      <c r="A130">
        <v>129</v>
      </c>
      <c r="B130" t="s">
        <v>11</v>
      </c>
      <c r="C130" t="s">
        <v>15</v>
      </c>
      <c r="D130" s="2">
        <v>45750</v>
      </c>
      <c r="E130" t="s">
        <v>19</v>
      </c>
      <c r="F130">
        <v>6</v>
      </c>
      <c r="G130">
        <v>1800</v>
      </c>
      <c r="H130">
        <f t="shared" si="1"/>
        <v>10800</v>
      </c>
      <c r="I130" t="str">
        <f>TEXT(Table1[[#This Row],[Date]],"ddd")</f>
        <v>Thu</v>
      </c>
    </row>
    <row r="131" spans="1:9" x14ac:dyDescent="0.3">
      <c r="A131">
        <v>130</v>
      </c>
      <c r="B131" t="s">
        <v>11</v>
      </c>
      <c r="C131" t="s">
        <v>15</v>
      </c>
      <c r="D131" s="2">
        <v>45750</v>
      </c>
      <c r="E131" t="s">
        <v>16</v>
      </c>
      <c r="F131">
        <v>12</v>
      </c>
      <c r="G131">
        <v>2300</v>
      </c>
      <c r="H131">
        <f t="shared" ref="H131:H145" si="2">F131*G131</f>
        <v>27600</v>
      </c>
      <c r="I131" t="str">
        <f>TEXT(Table1[[#This Row],[Date]],"ddd")</f>
        <v>Thu</v>
      </c>
    </row>
    <row r="132" spans="1:9" x14ac:dyDescent="0.3">
      <c r="A132">
        <v>131</v>
      </c>
      <c r="B132" t="s">
        <v>11</v>
      </c>
      <c r="C132" t="s">
        <v>15</v>
      </c>
      <c r="D132" s="2">
        <v>45750</v>
      </c>
      <c r="E132" t="s">
        <v>18</v>
      </c>
      <c r="F132">
        <v>9</v>
      </c>
      <c r="G132">
        <v>4000</v>
      </c>
      <c r="H132">
        <f t="shared" si="2"/>
        <v>36000</v>
      </c>
      <c r="I132" t="str">
        <f>TEXT(Table1[[#This Row],[Date]],"ddd")</f>
        <v>Thu</v>
      </c>
    </row>
    <row r="133" spans="1:9" x14ac:dyDescent="0.3">
      <c r="A133">
        <v>132</v>
      </c>
      <c r="B133" t="s">
        <v>11</v>
      </c>
      <c r="C133" t="s">
        <v>15</v>
      </c>
      <c r="D133" s="2">
        <v>45750</v>
      </c>
      <c r="E133" t="s">
        <v>20</v>
      </c>
      <c r="F133">
        <v>7</v>
      </c>
      <c r="G133">
        <v>8000</v>
      </c>
      <c r="H133">
        <f t="shared" si="2"/>
        <v>56000</v>
      </c>
      <c r="I133" t="str">
        <f>TEXT(Table1[[#This Row],[Date]],"ddd")</f>
        <v>Thu</v>
      </c>
    </row>
    <row r="134" spans="1:9" x14ac:dyDescent="0.3">
      <c r="A134">
        <v>133</v>
      </c>
      <c r="B134" t="s">
        <v>10</v>
      </c>
      <c r="C134" t="s">
        <v>14</v>
      </c>
      <c r="D134" s="2">
        <v>45751</v>
      </c>
      <c r="E134" t="s">
        <v>17</v>
      </c>
      <c r="F134">
        <v>15</v>
      </c>
      <c r="G134">
        <v>150</v>
      </c>
      <c r="H134">
        <f t="shared" si="2"/>
        <v>2250</v>
      </c>
      <c r="I134" t="str">
        <f>TEXT(Table1[[#This Row],[Date]],"ddd")</f>
        <v>Fri</v>
      </c>
    </row>
    <row r="135" spans="1:9" x14ac:dyDescent="0.3">
      <c r="A135">
        <v>134</v>
      </c>
      <c r="B135" t="s">
        <v>10</v>
      </c>
      <c r="C135" t="s">
        <v>14</v>
      </c>
      <c r="D135" s="2">
        <v>45751</v>
      </c>
      <c r="E135" t="s">
        <v>21</v>
      </c>
      <c r="F135">
        <v>13</v>
      </c>
      <c r="G135">
        <v>350</v>
      </c>
      <c r="H135">
        <f t="shared" si="2"/>
        <v>4550</v>
      </c>
      <c r="I135" t="str">
        <f>TEXT(Table1[[#This Row],[Date]],"ddd")</f>
        <v>Fri</v>
      </c>
    </row>
    <row r="136" spans="1:9" x14ac:dyDescent="0.3">
      <c r="A136">
        <v>135</v>
      </c>
      <c r="B136" t="s">
        <v>10</v>
      </c>
      <c r="C136" t="s">
        <v>14</v>
      </c>
      <c r="D136" s="2">
        <v>45751</v>
      </c>
      <c r="E136" t="s">
        <v>19</v>
      </c>
      <c r="F136">
        <v>10</v>
      </c>
      <c r="G136">
        <v>1800</v>
      </c>
      <c r="H136">
        <f t="shared" si="2"/>
        <v>18000</v>
      </c>
      <c r="I136" t="str">
        <f>TEXT(Table1[[#This Row],[Date]],"ddd")</f>
        <v>Fri</v>
      </c>
    </row>
    <row r="137" spans="1:9" x14ac:dyDescent="0.3">
      <c r="A137">
        <v>136</v>
      </c>
      <c r="B137" t="s">
        <v>10</v>
      </c>
      <c r="C137" t="s">
        <v>14</v>
      </c>
      <c r="D137" s="2">
        <v>45751</v>
      </c>
      <c r="E137" t="s">
        <v>16</v>
      </c>
      <c r="F137">
        <v>15</v>
      </c>
      <c r="G137">
        <v>2300</v>
      </c>
      <c r="H137">
        <f t="shared" si="2"/>
        <v>34500</v>
      </c>
      <c r="I137" t="str">
        <f>TEXT(Table1[[#This Row],[Date]],"ddd")</f>
        <v>Fri</v>
      </c>
    </row>
    <row r="138" spans="1:9" x14ac:dyDescent="0.3">
      <c r="A138">
        <v>137</v>
      </c>
      <c r="B138" t="s">
        <v>10</v>
      </c>
      <c r="C138" t="s">
        <v>14</v>
      </c>
      <c r="D138" s="2">
        <v>45751</v>
      </c>
      <c r="E138" t="s">
        <v>18</v>
      </c>
      <c r="F138">
        <v>16</v>
      </c>
      <c r="G138">
        <v>4000</v>
      </c>
      <c r="H138">
        <f t="shared" si="2"/>
        <v>64000</v>
      </c>
      <c r="I138" t="str">
        <f>TEXT(Table1[[#This Row],[Date]],"ddd")</f>
        <v>Fri</v>
      </c>
    </row>
    <row r="139" spans="1:9" x14ac:dyDescent="0.3">
      <c r="A139">
        <v>138</v>
      </c>
      <c r="B139" t="s">
        <v>10</v>
      </c>
      <c r="C139" t="s">
        <v>14</v>
      </c>
      <c r="D139" s="2">
        <v>45751</v>
      </c>
      <c r="E139" t="s">
        <v>20</v>
      </c>
      <c r="F139">
        <v>9</v>
      </c>
      <c r="G139">
        <v>8000</v>
      </c>
      <c r="H139">
        <f t="shared" si="2"/>
        <v>72000</v>
      </c>
      <c r="I139" t="str">
        <f>TEXT(Table1[[#This Row],[Date]],"ddd")</f>
        <v>Fri</v>
      </c>
    </row>
    <row r="140" spans="1:9" x14ac:dyDescent="0.3">
      <c r="A140">
        <v>139</v>
      </c>
      <c r="B140" t="s">
        <v>12</v>
      </c>
      <c r="C140" t="s">
        <v>15</v>
      </c>
      <c r="D140" s="2">
        <v>45752</v>
      </c>
      <c r="E140" t="s">
        <v>17</v>
      </c>
      <c r="F140">
        <v>13</v>
      </c>
      <c r="G140">
        <v>150</v>
      </c>
      <c r="H140">
        <f t="shared" si="2"/>
        <v>1950</v>
      </c>
      <c r="I140" t="str">
        <f>TEXT(Table1[[#This Row],[Date]],"ddd")</f>
        <v>Sat</v>
      </c>
    </row>
    <row r="141" spans="1:9" x14ac:dyDescent="0.3">
      <c r="A141">
        <v>140</v>
      </c>
      <c r="B141" t="s">
        <v>12</v>
      </c>
      <c r="C141" t="s">
        <v>15</v>
      </c>
      <c r="D141" s="2">
        <v>45752</v>
      </c>
      <c r="E141" t="s">
        <v>21</v>
      </c>
      <c r="F141">
        <v>11</v>
      </c>
      <c r="G141">
        <v>350</v>
      </c>
      <c r="H141">
        <f t="shared" si="2"/>
        <v>3850</v>
      </c>
      <c r="I141" t="str">
        <f>TEXT(Table1[[#This Row],[Date]],"ddd")</f>
        <v>Sat</v>
      </c>
    </row>
    <row r="142" spans="1:9" x14ac:dyDescent="0.3">
      <c r="A142">
        <v>141</v>
      </c>
      <c r="B142" t="s">
        <v>12</v>
      </c>
      <c r="C142" t="s">
        <v>15</v>
      </c>
      <c r="D142" s="2">
        <v>45752</v>
      </c>
      <c r="E142" t="s">
        <v>19</v>
      </c>
      <c r="F142">
        <v>13</v>
      </c>
      <c r="G142">
        <v>1800</v>
      </c>
      <c r="H142">
        <f t="shared" si="2"/>
        <v>23400</v>
      </c>
      <c r="I142" t="str">
        <f>TEXT(Table1[[#This Row],[Date]],"ddd")</f>
        <v>Sat</v>
      </c>
    </row>
    <row r="143" spans="1:9" x14ac:dyDescent="0.3">
      <c r="A143">
        <v>142</v>
      </c>
      <c r="B143" t="s">
        <v>12</v>
      </c>
      <c r="C143" t="s">
        <v>15</v>
      </c>
      <c r="D143" s="2">
        <v>45752</v>
      </c>
      <c r="E143" t="s">
        <v>16</v>
      </c>
      <c r="F143">
        <v>14</v>
      </c>
      <c r="G143">
        <v>2300</v>
      </c>
      <c r="H143">
        <f t="shared" si="2"/>
        <v>32200</v>
      </c>
      <c r="I143" t="str">
        <f>TEXT(Table1[[#This Row],[Date]],"ddd")</f>
        <v>Sat</v>
      </c>
    </row>
    <row r="144" spans="1:9" x14ac:dyDescent="0.3">
      <c r="A144">
        <v>143</v>
      </c>
      <c r="B144" t="s">
        <v>12</v>
      </c>
      <c r="C144" t="s">
        <v>15</v>
      </c>
      <c r="D144" s="2">
        <v>45752</v>
      </c>
      <c r="E144" t="s">
        <v>18</v>
      </c>
      <c r="F144">
        <v>13</v>
      </c>
      <c r="G144">
        <v>4000</v>
      </c>
      <c r="H144">
        <f t="shared" si="2"/>
        <v>52000</v>
      </c>
      <c r="I144" t="str">
        <f>TEXT(Table1[[#This Row],[Date]],"ddd")</f>
        <v>Sat</v>
      </c>
    </row>
    <row r="145" spans="1:9" x14ac:dyDescent="0.3">
      <c r="A145">
        <v>144</v>
      </c>
      <c r="B145" t="s">
        <v>12</v>
      </c>
      <c r="C145" t="s">
        <v>15</v>
      </c>
      <c r="D145" s="2">
        <v>45752</v>
      </c>
      <c r="E145" t="s">
        <v>20</v>
      </c>
      <c r="F145">
        <v>9</v>
      </c>
      <c r="G145">
        <v>8000</v>
      </c>
      <c r="H145">
        <f t="shared" si="2"/>
        <v>72000</v>
      </c>
      <c r="I145" t="str">
        <f>TEXT(Table1[[#This Row],[Date]],"ddd")</f>
        <v>Sat</v>
      </c>
    </row>
  </sheetData>
  <sortState xmlns:xlrd2="http://schemas.microsoft.com/office/spreadsheetml/2017/richdata2" ref="A2:G145">
    <sortCondition ref="D1"/>
  </sortState>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68D62-C32F-410F-A147-51495B49803B}">
  <dimension ref="A2:J29"/>
  <sheetViews>
    <sheetView topLeftCell="A4" zoomScaleNormal="100" workbookViewId="0">
      <selection activeCell="C43" sqref="C43"/>
    </sheetView>
  </sheetViews>
  <sheetFormatPr defaultRowHeight="14.4" x14ac:dyDescent="0.3"/>
  <cols>
    <col min="1" max="1" width="12.5546875" bestFit="1" customWidth="1"/>
    <col min="2" max="2" width="10.44140625" bestFit="1" customWidth="1"/>
    <col min="3" max="3" width="7" bestFit="1" customWidth="1"/>
    <col min="4" max="4" width="8" bestFit="1" customWidth="1"/>
    <col min="5" max="5" width="14.88671875" bestFit="1" customWidth="1"/>
    <col min="6" max="6" width="10.44140625" bestFit="1" customWidth="1"/>
    <col min="7" max="8" width="12.5546875" bestFit="1" customWidth="1"/>
    <col min="9" max="9" width="10.44140625" bestFit="1" customWidth="1"/>
    <col min="10" max="10" width="11.6640625" bestFit="1" customWidth="1"/>
    <col min="11" max="11" width="10.44140625" bestFit="1" customWidth="1"/>
  </cols>
  <sheetData>
    <row r="2" spans="1:10" x14ac:dyDescent="0.3">
      <c r="H2" s="3" t="s">
        <v>23</v>
      </c>
      <c r="I2" t="s">
        <v>26</v>
      </c>
    </row>
    <row r="3" spans="1:10" x14ac:dyDescent="0.3">
      <c r="A3" s="3" t="s">
        <v>23</v>
      </c>
      <c r="B3" t="s">
        <v>25</v>
      </c>
      <c r="E3" s="3" t="s">
        <v>23</v>
      </c>
      <c r="F3" t="s">
        <v>26</v>
      </c>
      <c r="J3">
        <f>H3</f>
        <v>0</v>
      </c>
    </row>
    <row r="4" spans="1:10" x14ac:dyDescent="0.3">
      <c r="A4" s="4" t="s">
        <v>24</v>
      </c>
      <c r="B4" s="5"/>
      <c r="E4" s="4" t="s">
        <v>24</v>
      </c>
      <c r="F4" s="5"/>
    </row>
    <row r="11" spans="1:10" ht="13.2" customHeight="1" x14ac:dyDescent="0.3"/>
    <row r="12" spans="1:10" x14ac:dyDescent="0.3">
      <c r="A12" s="3" t="s">
        <v>23</v>
      </c>
      <c r="B12" t="s">
        <v>25</v>
      </c>
    </row>
    <row r="13" spans="1:10" x14ac:dyDescent="0.3">
      <c r="A13" s="4" t="s">
        <v>24</v>
      </c>
      <c r="B13" s="5"/>
    </row>
    <row r="17" spans="1:9" x14ac:dyDescent="0.3">
      <c r="E17" t="s">
        <v>26</v>
      </c>
    </row>
    <row r="18" spans="1:9" x14ac:dyDescent="0.3">
      <c r="E18" s="5"/>
      <c r="F18" s="8">
        <f>GETPIVOTDATA("Qty",$E$17)</f>
        <v>0</v>
      </c>
    </row>
    <row r="20" spans="1:9" x14ac:dyDescent="0.3">
      <c r="A20">
        <f>SUM(Data!H:H)</f>
        <v>4087950</v>
      </c>
    </row>
    <row r="22" spans="1:9" x14ac:dyDescent="0.3">
      <c r="A22" t="s">
        <v>25</v>
      </c>
      <c r="E22" t="s">
        <v>28</v>
      </c>
    </row>
    <row r="23" spans="1:9" x14ac:dyDescent="0.3">
      <c r="A23" s="5"/>
      <c r="B23" s="7">
        <f>GETPIVOTDATA("Total",$A$22)</f>
        <v>0</v>
      </c>
      <c r="E23" s="5"/>
      <c r="F23" s="6">
        <f>GETPIVOTDATA("Total",$E$22)</f>
        <v>0</v>
      </c>
    </row>
    <row r="26" spans="1:9" x14ac:dyDescent="0.3">
      <c r="A26" s="3" t="s">
        <v>23</v>
      </c>
      <c r="B26" t="s">
        <v>26</v>
      </c>
    </row>
    <row r="28" spans="1:9" x14ac:dyDescent="0.3">
      <c r="G28" s="3" t="s">
        <v>23</v>
      </c>
      <c r="H28" t="s">
        <v>25</v>
      </c>
    </row>
    <row r="29" spans="1:9" x14ac:dyDescent="0.3">
      <c r="I29">
        <f>G29</f>
        <v>0</v>
      </c>
    </row>
  </sheetData>
  <pageMargins left="0.7" right="0.7" top="0.75" bottom="0.75" header="0.3" footer="0.3"/>
  <pageSetup orientation="portrait" horizontalDpi="300" verticalDpi="300"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D45C3-0CD9-4D92-9A88-29179D0C7163}">
  <dimension ref="A1"/>
  <sheetViews>
    <sheetView showGridLines="0" tabSelected="1" workbookViewId="0">
      <selection activeCell="V22" sqref="V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Jitendra verma</dc:creator>
  <cp:lastModifiedBy>Pooja Bahadur</cp:lastModifiedBy>
  <dcterms:created xsi:type="dcterms:W3CDTF">2025-05-14T07:06:15Z</dcterms:created>
  <dcterms:modified xsi:type="dcterms:W3CDTF">2026-05-29T10:38:51Z</dcterms:modified>
</cp:coreProperties>
</file>